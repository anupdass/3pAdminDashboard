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SNS -IT(P)\2026\"/>
    </mc:Choice>
  </mc:AlternateContent>
  <xr:revisionPtr revIDLastSave="0" documentId="13_ncr:1_{9B841AE9-3007-456F-85B0-E3101AF41F4D}" xr6:coauthVersionLast="47" xr6:coauthVersionMax="47" xr10:uidLastSave="{00000000-0000-0000-0000-000000000000}"/>
  <bookViews>
    <workbookView xWindow="-110" yWindow="-110" windowWidth="19420" windowHeight="10300" tabRatio="882" xr2:uid="{00000000-000D-0000-FFFF-FFFF00000000}"/>
  </bookViews>
  <sheets>
    <sheet name="Sum-Calculation" sheetId="54" r:id="rId1"/>
    <sheet name="BCBL-Summary" sheetId="49" r:id="rId2"/>
    <sheet name="Client &amp; PO" sheetId="44" r:id="rId3"/>
    <sheet name="SNS Issue PO &amp; Expenditure (2)" sheetId="62" r:id="rId4"/>
    <sheet name="SE" sheetId="55" r:id="rId5"/>
    <sheet name="Salary and Conveyance" sheetId="52" r:id="rId6"/>
    <sheet name="Expenditure &amp; Received Amount " sheetId="61" r:id="rId7"/>
    <sheet name="Local Purchase" sheetId="56" r:id="rId8"/>
    <sheet name="Conveyance" sheetId="37" r:id="rId9"/>
  </sheets>
  <definedNames>
    <definedName name="_xlnm._FilterDatabase" localSheetId="3" hidden="1">'SNS Issue PO &amp; Expenditure (2)'!$C$2:$C$21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1" l="1"/>
  <c r="G11" i="44" l="1"/>
  <c r="E11" i="44"/>
  <c r="D11" i="44"/>
  <c r="C11" i="44"/>
  <c r="E49" i="62" l="1"/>
  <c r="D49" i="62"/>
  <c r="E45" i="62"/>
  <c r="I6" i="49" l="1"/>
  <c r="I42" i="49" l="1"/>
  <c r="D43" i="49" s="1"/>
  <c r="D42" i="49"/>
  <c r="I29" i="49"/>
  <c r="D30" i="49" s="1"/>
  <c r="D29" i="49"/>
  <c r="D44" i="49" l="1"/>
  <c r="D31" i="49"/>
  <c r="D6" i="49" l="1"/>
  <c r="D20" i="49" l="1"/>
  <c r="D7" i="49"/>
  <c r="I20" i="49" l="1"/>
  <c r="D21" i="49" s="1"/>
  <c r="D22" i="49" s="1"/>
  <c r="D8" i="49"/>
  <c r="D10" i="49" s="1"/>
  <c r="F20" i="62"/>
  <c r="G16" i="61"/>
  <c r="G18" i="61" s="1"/>
  <c r="E31" i="52" l="1"/>
  <c r="E12" i="52" l="1"/>
  <c r="E13" i="52"/>
  <c r="E14" i="52"/>
  <c r="E15" i="52"/>
  <c r="E16" i="52"/>
  <c r="E17" i="52"/>
  <c r="E18" i="52"/>
  <c r="I17" i="56"/>
  <c r="F9" i="55"/>
  <c r="D9" i="55"/>
  <c r="G5" i="54" s="1"/>
  <c r="E9" i="55"/>
  <c r="G5" i="55"/>
  <c r="G9" i="55" s="1"/>
  <c r="G6" i="55"/>
  <c r="E18" i="56"/>
  <c r="F18" i="56"/>
  <c r="G18" i="56"/>
  <c r="C40" i="52"/>
  <c r="D29" i="37"/>
  <c r="H29" i="37"/>
  <c r="D31" i="37" s="1"/>
  <c r="I18" i="56" l="1"/>
  <c r="H18" i="56"/>
  <c r="E10" i="52"/>
  <c r="E32" i="52" s="1"/>
  <c r="D20" i="62"/>
  <c r="E20" i="52"/>
  <c r="H20" i="62" l="1"/>
  <c r="E5" i="54"/>
  <c r="I5" i="54"/>
  <c r="E20" i="62"/>
  <c r="D5" i="54"/>
  <c r="D12" i="44"/>
  <c r="H5" i="54"/>
  <c r="C5" i="54"/>
  <c r="D21" i="62" l="1"/>
  <c r="F5" i="54"/>
  <c r="M8" i="54" s="1"/>
</calcChain>
</file>

<file path=xl/sharedStrings.xml><?xml version="1.0" encoding="utf-8"?>
<sst xmlns="http://schemas.openxmlformats.org/spreadsheetml/2006/main" count="212" uniqueCount="127">
  <si>
    <t>Received Name</t>
  </si>
  <si>
    <t>Received Amount</t>
  </si>
  <si>
    <t>Received Date</t>
  </si>
  <si>
    <t>SL</t>
  </si>
  <si>
    <t>Costing Amount</t>
  </si>
  <si>
    <t>Remark's</t>
  </si>
  <si>
    <t xml:space="preserve"> Paid Amount</t>
  </si>
  <si>
    <t>SNS Global Limited (B)</t>
  </si>
  <si>
    <t>office Expenditure</t>
  </si>
  <si>
    <t>Sl</t>
  </si>
  <si>
    <t>Unit Price</t>
  </si>
  <si>
    <t>Date</t>
  </si>
  <si>
    <t>UOM</t>
  </si>
  <si>
    <t>Qty.</t>
  </si>
  <si>
    <t>Description</t>
  </si>
  <si>
    <t>Total Received Amount</t>
  </si>
  <si>
    <t>Total Costing Amount</t>
  </si>
  <si>
    <t>Remaining In Hand/Due Amount</t>
  </si>
  <si>
    <t>SNS Global Expenses Total  Expenses</t>
  </si>
  <si>
    <t>PO Value</t>
  </si>
  <si>
    <t>Remarks</t>
  </si>
  <si>
    <t>Cost Calculation</t>
  </si>
  <si>
    <t>SL.</t>
  </si>
  <si>
    <t xml:space="preserve"> Received Amount</t>
  </si>
  <si>
    <t>05.03.2025(BCBL AC Calculation)</t>
  </si>
  <si>
    <t>Project Name</t>
  </si>
  <si>
    <t>Client Received Amount -BCBL</t>
  </si>
  <si>
    <t>Payment Date</t>
  </si>
  <si>
    <t xml:space="preserve">Delivery </t>
  </si>
  <si>
    <t>WCR</t>
  </si>
  <si>
    <t>Delivey Challan</t>
  </si>
  <si>
    <t>Warrenty</t>
  </si>
  <si>
    <t>Delivery Date</t>
  </si>
  <si>
    <t>Local Purchase</t>
  </si>
  <si>
    <t>Project  Name</t>
  </si>
  <si>
    <t>PO Pending</t>
  </si>
  <si>
    <t>Payment Due</t>
  </si>
  <si>
    <t>Expenditure</t>
  </si>
  <si>
    <t>Month</t>
  </si>
  <si>
    <t>Total Cost</t>
  </si>
  <si>
    <t>A</t>
  </si>
  <si>
    <t>SNS Salary</t>
  </si>
  <si>
    <t>B</t>
  </si>
  <si>
    <t>SNS-Official Expenditure</t>
  </si>
  <si>
    <t>Office Rent (50%, 40000)</t>
  </si>
  <si>
    <t>Electric Bill (50%,15000)</t>
  </si>
  <si>
    <t>Wifi Bill (50%,1800)</t>
  </si>
  <si>
    <t>Water + GAS (50%)</t>
  </si>
  <si>
    <t>Warehouse Rent+Utility+Stair Clean</t>
  </si>
  <si>
    <t>Ware House(Wifi bill) April'24</t>
  </si>
  <si>
    <t>Others official expenditure(Monthly VAT,Transgender,Papers,PAD,entertain etc.)</t>
  </si>
  <si>
    <t>Total-SNS-Official Expenditure (B)</t>
  </si>
  <si>
    <t>C</t>
  </si>
  <si>
    <t>SNS-Conveyance</t>
  </si>
  <si>
    <t>Total-SNS Conveyance (C)</t>
  </si>
  <si>
    <t>Total Expenditure (A+B+C)</t>
  </si>
  <si>
    <t>N.B: SNS will paid above expenditure each month before date 5</t>
  </si>
  <si>
    <t>Conveyance Nov/24</t>
  </si>
  <si>
    <t>Name</t>
  </si>
  <si>
    <t>Amount</t>
  </si>
  <si>
    <t>Total</t>
  </si>
  <si>
    <t>Vender Name &amp; PO Amount</t>
  </si>
  <si>
    <t>Purchase Vendor Name</t>
  </si>
  <si>
    <t>(Conveyance for the month of Mar'25)</t>
  </si>
  <si>
    <t>Total Amount</t>
  </si>
  <si>
    <t>Conveyance</t>
  </si>
  <si>
    <t>Petty cash</t>
  </si>
  <si>
    <t>Total Advance Received</t>
  </si>
  <si>
    <t>PO Amount</t>
  </si>
  <si>
    <t>Advance Amount</t>
  </si>
  <si>
    <t>Collection Due from client</t>
  </si>
  <si>
    <t>Clinet End</t>
  </si>
  <si>
    <t>All Project</t>
  </si>
  <si>
    <t>Cah In Hand</t>
  </si>
  <si>
    <t>OEM/Vandor Payment</t>
  </si>
  <si>
    <t>Cash Payment</t>
  </si>
  <si>
    <t>Projecct Name</t>
  </si>
  <si>
    <t>Due Amount</t>
  </si>
  <si>
    <t>Recugation Amount</t>
  </si>
  <si>
    <t xml:space="preserve"> Paid Amount-SNS</t>
  </si>
  <si>
    <t>Paid Amount-MWTIL</t>
  </si>
  <si>
    <t>Project Wase Local Purchases</t>
  </si>
  <si>
    <t xml:space="preserve">Remarks </t>
  </si>
  <si>
    <t>Cash Received from Vendor /Sharmin</t>
  </si>
  <si>
    <t>Total Received</t>
  </si>
  <si>
    <t>Hand cash sharmin</t>
  </si>
  <si>
    <t>Expenditure Against Project</t>
  </si>
  <si>
    <r>
      <t xml:space="preserve">Payment </t>
    </r>
    <r>
      <rPr>
        <sz val="9"/>
        <color theme="1"/>
        <rFont val="Times New Roman"/>
        <family val="1"/>
      </rPr>
      <t>(BCBL)</t>
    </r>
  </si>
  <si>
    <t>(Project  costing Calculation)SNS</t>
  </si>
  <si>
    <t>Advance Received</t>
  </si>
  <si>
    <t>AC Pay</t>
  </si>
  <si>
    <t>Official Expenditure</t>
  </si>
  <si>
    <t>Salary and Conveyance</t>
  </si>
  <si>
    <t>Project Local Expenditure</t>
  </si>
  <si>
    <t>Local Conveyance</t>
  </si>
  <si>
    <t>Expenditure &amp; Received Amount</t>
  </si>
  <si>
    <t xml:space="preserve">TVNL -Power Module Purchase/EX </t>
  </si>
  <si>
    <t>Speed Money</t>
  </si>
  <si>
    <t>Client Name</t>
  </si>
  <si>
    <t>Remaining Due</t>
  </si>
  <si>
    <t xml:space="preserve"> Due</t>
  </si>
  <si>
    <t xml:space="preserve">Hand Cash </t>
  </si>
  <si>
    <t>PO</t>
  </si>
  <si>
    <t>A/C Pay(BCBL)</t>
  </si>
  <si>
    <t>Vendor Payment</t>
  </si>
  <si>
    <t>Nobabpur &amp; Others</t>
  </si>
  <si>
    <t>Sub-Total</t>
  </si>
  <si>
    <t>Grand Total -Purchase</t>
  </si>
  <si>
    <t>Date-PO</t>
  </si>
  <si>
    <t>SNS er Account e Chilo</t>
  </si>
  <si>
    <t>Total Received from DBBL/MD Sir</t>
  </si>
  <si>
    <t>Total Received Amount From Client</t>
  </si>
  <si>
    <t>Remaining in DBBL  Account</t>
  </si>
  <si>
    <t>Remaining in DBBL  Account-SNS er Account e Chilo</t>
  </si>
  <si>
    <t>Client Received Amount -NRBC-MWT Informatics Limited</t>
  </si>
  <si>
    <t>Total Received Amount From BCBL</t>
  </si>
  <si>
    <t>Remaining in NRBC Account</t>
  </si>
  <si>
    <t>Remaining In Hand</t>
  </si>
  <si>
    <t>Total Costing from NRBC/MD Sir</t>
  </si>
  <si>
    <t>12.08.2025(EBL AC Calculation)</t>
  </si>
  <si>
    <t>Client Received Amount -EBL-MWTIL</t>
  </si>
  <si>
    <t>Client Received Amount -DBBL-MWTIL</t>
  </si>
  <si>
    <t>Total Costing from DBBL/MD Sir</t>
  </si>
  <si>
    <t>Monthly Fixed Cost from - Jan'2026</t>
  </si>
  <si>
    <t>SNS Salary for the Month of Jan'26(A)</t>
  </si>
  <si>
    <t>Conveyance For the month of  March'24</t>
  </si>
  <si>
    <t>SNS Global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</si>
</sst>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-* #,##0.00_৳_-;\-* #,##0.00_৳_-;_-* &quot;-&quot;??_৳_-;_-@_-"/>
    <numFmt numFmtId="166" formatCode="#,##0_ "/>
    <numFmt numFmtId="167" formatCode="_-* #,##0_৳_-;\-* #,##0_৳_-;_-* &quot;-&quot;??_৳_-;_-@_-"/>
    <numFmt numFmtId="168" formatCode="_(* #,##0.0_);_(* \(#,##0.0\);_(* &quot;-&quot;??_);_(@_)"/>
    <numFmt numFmtId="169" formatCode="_(* #,##0.0_);_(* \(#,##0.0\);_(* &quot;-&quot;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0"/>
      <name val="Arial"/>
      <family val="2"/>
    </font>
    <font>
      <b/>
      <sz val="16"/>
      <color theme="1"/>
      <name val="Cambria"/>
      <family val="1"/>
    </font>
    <font>
      <b/>
      <sz val="14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rgb="FFFF0000"/>
      <name val="Cambria"/>
      <family val="1"/>
    </font>
    <font>
      <b/>
      <sz val="18"/>
      <color theme="1"/>
      <name val="Cambria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7" fillId="0" borderId="0"/>
    <xf numFmtId="165" fontId="17" fillId="0" borderId="0" applyFont="0" applyFill="0" applyBorder="0" applyAlignment="0" applyProtection="0"/>
  </cellStyleXfs>
  <cellXfs count="275">
    <xf numFmtId="0" fontId="0" fillId="0" borderId="0" xfId="0"/>
    <xf numFmtId="0" fontId="2" fillId="0" borderId="1" xfId="0" applyFont="1" applyBorder="1"/>
    <xf numFmtId="0" fontId="2" fillId="0" borderId="0" xfId="0" applyFont="1"/>
    <xf numFmtId="164" fontId="2" fillId="0" borderId="1" xfId="1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4" fontId="2" fillId="0" borderId="1" xfId="1" applyNumberFormat="1" applyFont="1" applyFill="1" applyBorder="1"/>
    <xf numFmtId="164" fontId="3" fillId="2" borderId="1" xfId="0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center"/>
    </xf>
    <xf numFmtId="164" fontId="2" fillId="3" borderId="1" xfId="1" applyNumberFormat="1" applyFont="1" applyFill="1" applyBorder="1"/>
    <xf numFmtId="164" fontId="2" fillId="0" borderId="0" xfId="0" applyNumberFormat="1" applyFont="1"/>
    <xf numFmtId="0" fontId="3" fillId="2" borderId="0" xfId="0" applyFont="1" applyFill="1" applyAlignment="1">
      <alignment horizontal="right" indent="1"/>
    </xf>
    <xf numFmtId="0" fontId="3" fillId="2" borderId="2" xfId="0" applyFont="1" applyFill="1" applyBorder="1" applyAlignment="1">
      <alignment horizontal="right" indent="1"/>
    </xf>
    <xf numFmtId="0" fontId="3" fillId="2" borderId="2" xfId="0" applyFont="1" applyFill="1" applyBorder="1"/>
    <xf numFmtId="164" fontId="3" fillId="2" borderId="2" xfId="0" applyNumberFormat="1" applyFont="1" applyFill="1" applyBorder="1" applyAlignment="1">
      <alignment horizontal="right"/>
    </xf>
    <xf numFmtId="0" fontId="2" fillId="0" borderId="2" xfId="0" applyFont="1" applyBorder="1"/>
    <xf numFmtId="164" fontId="3" fillId="0" borderId="3" xfId="1" applyNumberFormat="1" applyFont="1" applyBorder="1"/>
    <xf numFmtId="0" fontId="3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11" fillId="0" borderId="0" xfId="0" applyFont="1"/>
    <xf numFmtId="0" fontId="11" fillId="0" borderId="1" xfId="0" applyFont="1" applyBorder="1"/>
    <xf numFmtId="0" fontId="10" fillId="2" borderId="1" xfId="0" applyFont="1" applyFill="1" applyBorder="1" applyAlignment="1">
      <alignment horizontal="center" vertical="top" wrapText="1"/>
    </xf>
    <xf numFmtId="164" fontId="11" fillId="0" borderId="1" xfId="1" applyNumberFormat="1" applyFont="1" applyBorder="1"/>
    <xf numFmtId="164" fontId="11" fillId="0" borderId="1" xfId="0" applyNumberFormat="1" applyFont="1" applyBorder="1"/>
    <xf numFmtId="16" fontId="5" fillId="0" borderId="1" xfId="0" applyNumberFormat="1" applyFont="1" applyBorder="1"/>
    <xf numFmtId="164" fontId="11" fillId="0" borderId="0" xfId="0" applyNumberFormat="1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4" fontId="2" fillId="0" borderId="7" xfId="1" applyNumberFormat="1" applyFont="1" applyBorder="1"/>
    <xf numFmtId="0" fontId="2" fillId="5" borderId="1" xfId="0" applyFont="1" applyFill="1" applyBorder="1" applyAlignment="1">
      <alignment horizontal="right"/>
    </xf>
    <xf numFmtId="164" fontId="2" fillId="5" borderId="1" xfId="1" applyNumberFormat="1" applyFont="1" applyFill="1" applyBorder="1"/>
    <xf numFmtId="0" fontId="2" fillId="5" borderId="1" xfId="0" applyFont="1" applyFill="1" applyBorder="1"/>
    <xf numFmtId="164" fontId="12" fillId="0" borderId="1" xfId="1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" fontId="7" fillId="0" borderId="1" xfId="0" applyNumberFormat="1" applyFont="1" applyBorder="1" applyAlignment="1">
      <alignment horizontal="right"/>
    </xf>
    <xf numFmtId="164" fontId="11" fillId="0" borderId="0" xfId="1" applyNumberFormat="1" applyFont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/>
    </xf>
    <xf numFmtId="164" fontId="11" fillId="0" borderId="1" xfId="1" applyNumberFormat="1" applyFont="1" applyBorder="1" applyAlignment="1">
      <alignment horizontal="left"/>
    </xf>
    <xf numFmtId="0" fontId="9" fillId="0" borderId="12" xfId="0" applyFont="1" applyBorder="1"/>
    <xf numFmtId="0" fontId="11" fillId="0" borderId="12" xfId="0" applyFont="1" applyBorder="1"/>
    <xf numFmtId="0" fontId="11" fillId="0" borderId="15" xfId="0" applyFont="1" applyBorder="1"/>
    <xf numFmtId="0" fontId="11" fillId="0" borderId="16" xfId="0" applyFont="1" applyBorder="1"/>
    <xf numFmtId="0" fontId="11" fillId="0" borderId="3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164" fontId="9" fillId="6" borderId="1" xfId="1" applyNumberFormat="1" applyFont="1" applyFill="1" applyBorder="1"/>
    <xf numFmtId="164" fontId="9" fillId="0" borderId="1" xfId="1" applyNumberFormat="1" applyFont="1" applyFill="1" applyBorder="1"/>
    <xf numFmtId="164" fontId="11" fillId="7" borderId="1" xfId="1" applyNumberFormat="1" applyFont="1" applyFill="1" applyBorder="1"/>
    <xf numFmtId="164" fontId="11" fillId="0" borderId="1" xfId="1" applyNumberFormat="1" applyFont="1" applyFill="1" applyBorder="1"/>
    <xf numFmtId="164" fontId="9" fillId="3" borderId="1" xfId="1" applyNumberFormat="1" applyFont="1" applyFill="1" applyBorder="1"/>
    <xf numFmtId="43" fontId="11" fillId="0" borderId="1" xfId="1" applyFont="1" applyBorder="1" applyAlignment="1">
      <alignment horizontal="left" indent="2"/>
    </xf>
    <xf numFmtId="164" fontId="11" fillId="0" borderId="1" xfId="1" applyNumberFormat="1" applyFont="1" applyBorder="1" applyAlignment="1">
      <alignment horizontal="right" wrapText="1"/>
    </xf>
    <xf numFmtId="164" fontId="11" fillId="0" borderId="1" xfId="1" applyNumberFormat="1" applyFont="1" applyBorder="1" applyAlignment="1">
      <alignment horizontal="right"/>
    </xf>
    <xf numFmtId="43" fontId="11" fillId="0" borderId="1" xfId="1" applyFont="1" applyBorder="1" applyAlignment="1"/>
    <xf numFmtId="0" fontId="11" fillId="0" borderId="1" xfId="0" applyFont="1" applyBorder="1" applyAlignment="1">
      <alignment horizontal="center" vertical="center" wrapText="1"/>
    </xf>
    <xf numFmtId="164" fontId="11" fillId="0" borderId="16" xfId="0" applyNumberFormat="1" applyFont="1" applyBorder="1"/>
    <xf numFmtId="0" fontId="19" fillId="0" borderId="0" xfId="3" applyFont="1"/>
    <xf numFmtId="0" fontId="19" fillId="4" borderId="1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/>
    </xf>
    <xf numFmtId="0" fontId="19" fillId="4" borderId="1" xfId="3" applyFont="1" applyFill="1" applyBorder="1" applyAlignment="1">
      <alignment vertical="center"/>
    </xf>
    <xf numFmtId="0" fontId="20" fillId="3" borderId="1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left"/>
    </xf>
    <xf numFmtId="0" fontId="19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center"/>
    </xf>
    <xf numFmtId="0" fontId="19" fillId="3" borderId="1" xfId="3" applyFont="1" applyFill="1" applyBorder="1" applyAlignment="1">
      <alignment vertical="center"/>
    </xf>
    <xf numFmtId="0" fontId="19" fillId="0" borderId="1" xfId="3" applyFont="1" applyBorder="1" applyAlignment="1">
      <alignment horizontal="center" vertical="top"/>
    </xf>
    <xf numFmtId="0" fontId="19" fillId="2" borderId="1" xfId="3" applyFont="1" applyFill="1" applyBorder="1" applyAlignment="1">
      <alignment vertical="top"/>
    </xf>
    <xf numFmtId="0" fontId="19" fillId="2" borderId="1" xfId="3" applyFont="1" applyFill="1" applyBorder="1" applyAlignment="1">
      <alignment horizontal="center" vertical="top"/>
    </xf>
    <xf numFmtId="166" fontId="19" fillId="2" borderId="1" xfId="4" applyNumberFormat="1" applyFont="1" applyFill="1" applyBorder="1" applyAlignment="1">
      <alignment horizontal="right" vertical="top"/>
    </xf>
    <xf numFmtId="167" fontId="19" fillId="0" borderId="1" xfId="4" applyNumberFormat="1" applyFont="1" applyBorder="1" applyAlignment="1">
      <alignment horizontal="right" vertical="top"/>
    </xf>
    <xf numFmtId="0" fontId="21" fillId="0" borderId="1" xfId="0" applyFont="1" applyBorder="1" applyAlignment="1">
      <alignment vertical="center" wrapText="1"/>
    </xf>
    <xf numFmtId="0" fontId="19" fillId="2" borderId="0" xfId="3" applyFont="1" applyFill="1"/>
    <xf numFmtId="0" fontId="19" fillId="0" borderId="1" xfId="3" applyFont="1" applyBorder="1" applyAlignment="1">
      <alignment horizontal="center" vertical="center"/>
    </xf>
    <xf numFmtId="0" fontId="19" fillId="0" borderId="1" xfId="3" applyFont="1" applyBorder="1"/>
    <xf numFmtId="167" fontId="19" fillId="3" borderId="1" xfId="3" applyNumberFormat="1" applyFont="1" applyFill="1" applyBorder="1" applyAlignment="1">
      <alignment horizontal="center" vertical="center"/>
    </xf>
    <xf numFmtId="0" fontId="20" fillId="8" borderId="1" xfId="3" applyFont="1" applyFill="1" applyBorder="1" applyAlignment="1">
      <alignment horizontal="center" vertical="center"/>
    </xf>
    <xf numFmtId="0" fontId="20" fillId="8" borderId="1" xfId="3" applyFont="1" applyFill="1" applyBorder="1" applyAlignment="1">
      <alignment horizontal="left" vertical="center"/>
    </xf>
    <xf numFmtId="0" fontId="19" fillId="8" borderId="1" xfId="3" applyFont="1" applyFill="1" applyBorder="1" applyAlignment="1">
      <alignment horizontal="center" vertical="center"/>
    </xf>
    <xf numFmtId="167" fontId="19" fillId="8" borderId="1" xfId="3" applyNumberFormat="1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vertical="center"/>
    </xf>
    <xf numFmtId="0" fontId="19" fillId="0" borderId="1" xfId="3" applyFont="1" applyBorder="1" applyAlignment="1">
      <alignment wrapText="1"/>
    </xf>
    <xf numFmtId="166" fontId="19" fillId="0" borderId="1" xfId="4" applyNumberFormat="1" applyFont="1" applyBorder="1" applyAlignment="1">
      <alignment horizontal="right" vertical="center"/>
    </xf>
    <xf numFmtId="167" fontId="19" fillId="0" borderId="1" xfId="4" applyNumberFormat="1" applyFont="1" applyBorder="1" applyAlignment="1">
      <alignment horizontal="right" vertical="center"/>
    </xf>
    <xf numFmtId="0" fontId="19" fillId="0" borderId="1" xfId="3" applyFont="1" applyBorder="1" applyAlignment="1">
      <alignment vertical="center" wrapText="1"/>
    </xf>
    <xf numFmtId="0" fontId="19" fillId="0" borderId="1" xfId="3" applyFont="1" applyBorder="1" applyAlignment="1">
      <alignment horizontal="left"/>
    </xf>
    <xf numFmtId="0" fontId="19" fillId="0" borderId="1" xfId="3" applyFont="1" applyBorder="1" applyAlignment="1">
      <alignment vertical="center"/>
    </xf>
    <xf numFmtId="167" fontId="19" fillId="3" borderId="1" xfId="3" applyNumberFormat="1" applyFont="1" applyFill="1" applyBorder="1" applyAlignment="1">
      <alignment vertical="center"/>
    </xf>
    <xf numFmtId="0" fontId="19" fillId="3" borderId="1" xfId="3" applyFont="1" applyFill="1" applyBorder="1"/>
    <xf numFmtId="0" fontId="20" fillId="0" borderId="1" xfId="3" applyFont="1" applyBorder="1" applyAlignment="1">
      <alignment horizontal="right"/>
    </xf>
    <xf numFmtId="0" fontId="20" fillId="0" borderId="1" xfId="3" applyFont="1" applyBorder="1" applyAlignment="1">
      <alignment horizontal="left"/>
    </xf>
    <xf numFmtId="167" fontId="19" fillId="0" borderId="1" xfId="3" applyNumberFormat="1" applyFont="1" applyBorder="1" applyAlignment="1">
      <alignment vertical="center"/>
    </xf>
    <xf numFmtId="0" fontId="19" fillId="0" borderId="1" xfId="3" applyFont="1" applyBorder="1" applyAlignment="1">
      <alignment horizontal="right"/>
    </xf>
    <xf numFmtId="167" fontId="6" fillId="9" borderId="1" xfId="3" applyNumberFormat="1" applyFont="1" applyFill="1" applyBorder="1" applyAlignment="1">
      <alignment vertical="center"/>
    </xf>
    <xf numFmtId="0" fontId="19" fillId="9" borderId="1" xfId="3" applyFont="1" applyFill="1" applyBorder="1"/>
    <xf numFmtId="0" fontId="22" fillId="0" borderId="0" xfId="3" applyFont="1"/>
    <xf numFmtId="167" fontId="19" fillId="0" borderId="0" xfId="3" applyNumberFormat="1" applyFont="1" applyAlignment="1">
      <alignment vertical="center"/>
    </xf>
    <xf numFmtId="0" fontId="23" fillId="0" borderId="1" xfId="0" applyFont="1" applyBorder="1" applyAlignment="1">
      <alignment horizontal="center"/>
    </xf>
    <xf numFmtId="0" fontId="19" fillId="0" borderId="0" xfId="3" applyFont="1" applyAlignment="1">
      <alignment vertical="center"/>
    </xf>
    <xf numFmtId="0" fontId="6" fillId="0" borderId="1" xfId="0" applyFont="1" applyBorder="1" applyAlignment="1">
      <alignment horizontal="center"/>
    </xf>
    <xf numFmtId="0" fontId="16" fillId="0" borderId="1" xfId="0" applyFont="1" applyBorder="1"/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64" fontId="5" fillId="0" borderId="1" xfId="1" applyNumberFormat="1" applyFont="1" applyBorder="1" applyAlignment="1"/>
    <xf numFmtId="166" fontId="19" fillId="0" borderId="1" xfId="3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4" fontId="2" fillId="0" borderId="3" xfId="1" applyNumberFormat="1" applyFont="1" applyBorder="1"/>
    <xf numFmtId="16" fontId="8" fillId="0" borderId="1" xfId="0" applyNumberFormat="1" applyFont="1" applyBorder="1" applyAlignment="1">
      <alignment horizontal="left"/>
    </xf>
    <xf numFmtId="0" fontId="11" fillId="0" borderId="0" xfId="0" applyFont="1" applyAlignment="1">
      <alignment vertical="top"/>
    </xf>
    <xf numFmtId="0" fontId="11" fillId="0" borderId="14" xfId="0" applyFont="1" applyBorder="1"/>
    <xf numFmtId="0" fontId="11" fillId="0" borderId="9" xfId="0" applyFont="1" applyBorder="1"/>
    <xf numFmtId="0" fontId="19" fillId="0" borderId="5" xfId="3" applyFont="1" applyBorder="1" applyAlignment="1">
      <alignment horizontal="center" vertical="center" wrapText="1"/>
    </xf>
    <xf numFmtId="168" fontId="11" fillId="0" borderId="0" xfId="1" applyNumberFormat="1" applyFont="1"/>
    <xf numFmtId="43" fontId="11" fillId="0" borderId="1" xfId="1" applyFont="1" applyBorder="1"/>
    <xf numFmtId="0" fontId="0" fillId="0" borderId="1" xfId="0" applyBorder="1"/>
    <xf numFmtId="0" fontId="11" fillId="10" borderId="1" xfId="0" applyFont="1" applyFill="1" applyBorder="1"/>
    <xf numFmtId="0" fontId="11" fillId="11" borderId="1" xfId="0" applyFont="1" applyFill="1" applyBorder="1"/>
    <xf numFmtId="43" fontId="0" fillId="0" borderId="0" xfId="0" applyNumberFormat="1"/>
    <xf numFmtId="43" fontId="0" fillId="3" borderId="0" xfId="1" applyFont="1" applyFill="1"/>
    <xf numFmtId="164" fontId="0" fillId="0" borderId="0" xfId="0" applyNumberFormat="1"/>
    <xf numFmtId="16" fontId="25" fillId="0" borderId="1" xfId="0" applyNumberFormat="1" applyFont="1" applyBorder="1"/>
    <xf numFmtId="168" fontId="0" fillId="0" borderId="0" xfId="1" applyNumberFormat="1" applyFont="1"/>
    <xf numFmtId="169" fontId="0" fillId="0" borderId="0" xfId="0" applyNumberFormat="1"/>
    <xf numFmtId="0" fontId="27" fillId="0" borderId="1" xfId="0" applyFont="1" applyBorder="1" applyAlignment="1">
      <alignment horizontal="center"/>
    </xf>
    <xf numFmtId="0" fontId="11" fillId="0" borderId="6" xfId="0" applyFont="1" applyBorder="1" applyAlignment="1">
      <alignment vertical="center" wrapText="1"/>
    </xf>
    <xf numFmtId="164" fontId="9" fillId="0" borderId="1" xfId="1" applyNumberFormat="1" applyFont="1" applyFill="1" applyBorder="1" applyAlignment="1">
      <alignment horizontal="right"/>
    </xf>
    <xf numFmtId="164" fontId="0" fillId="0" borderId="0" xfId="1" applyNumberFormat="1" applyFont="1"/>
    <xf numFmtId="164" fontId="11" fillId="0" borderId="1" xfId="1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0" fillId="3" borderId="0" xfId="0" applyFill="1"/>
    <xf numFmtId="0" fontId="11" fillId="0" borderId="1" xfId="0" applyFont="1" applyBorder="1" applyAlignment="1">
      <alignment vertical="top" wrapText="1"/>
    </xf>
    <xf numFmtId="43" fontId="11" fillId="0" borderId="0" xfId="0" applyNumberFormat="1" applyFont="1"/>
    <xf numFmtId="0" fontId="11" fillId="10" borderId="4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43" fontId="11" fillId="0" borderId="0" xfId="1" applyFont="1"/>
    <xf numFmtId="0" fontId="11" fillId="0" borderId="0" xfId="0" applyFont="1" applyAlignment="1">
      <alignment vertical="center"/>
    </xf>
    <xf numFmtId="0" fontId="9" fillId="0" borderId="12" xfId="0" applyFont="1" applyBorder="1" applyAlignment="1">
      <alignment horizontal="center"/>
    </xf>
    <xf numFmtId="164" fontId="19" fillId="0" borderId="1" xfId="1" applyNumberFormat="1" applyFont="1" applyBorder="1" applyAlignment="1">
      <alignment horizontal="right"/>
    </xf>
    <xf numFmtId="0" fontId="19" fillId="0" borderId="1" xfId="3" applyFont="1" applyBorder="1" applyAlignment="1">
      <alignment horizontal="center"/>
    </xf>
    <xf numFmtId="167" fontId="19" fillId="0" borderId="5" xfId="3" applyNumberFormat="1" applyFont="1" applyBorder="1" applyAlignment="1">
      <alignment vertical="center"/>
    </xf>
    <xf numFmtId="164" fontId="0" fillId="13" borderId="0" xfId="1" applyNumberFormat="1" applyFont="1" applyFill="1"/>
    <xf numFmtId="16" fontId="2" fillId="0" borderId="1" xfId="0" applyNumberFormat="1" applyFont="1" applyBorder="1" applyAlignment="1">
      <alignment horizontal="center"/>
    </xf>
    <xf numFmtId="168" fontId="11" fillId="0" borderId="1" xfId="0" applyNumberFormat="1" applyFont="1" applyBorder="1"/>
    <xf numFmtId="164" fontId="11" fillId="0" borderId="1" xfId="1" applyNumberFormat="1" applyFont="1" applyFill="1" applyBorder="1" applyAlignment="1">
      <alignment horizontal="left"/>
    </xf>
    <xf numFmtId="164" fontId="11" fillId="3" borderId="1" xfId="0" applyNumberFormat="1" applyFont="1" applyFill="1" applyBorder="1"/>
    <xf numFmtId="0" fontId="9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28" fillId="0" borderId="0" xfId="0" applyFont="1"/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0" fontId="12" fillId="0" borderId="21" xfId="0" applyFont="1" applyBorder="1"/>
    <xf numFmtId="0" fontId="12" fillId="0" borderId="1" xfId="0" applyFont="1" applyBorder="1"/>
    <xf numFmtId="0" fontId="25" fillId="0" borderId="1" xfId="0" applyFont="1" applyBorder="1" applyAlignment="1">
      <alignment horizontal="right"/>
    </xf>
    <xf numFmtId="164" fontId="25" fillId="0" borderId="1" xfId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25" fillId="0" borderId="1" xfId="1" applyNumberFormat="1" applyFont="1" applyBorder="1"/>
    <xf numFmtId="164" fontId="25" fillId="0" borderId="1" xfId="1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4" fontId="9" fillId="4" borderId="1" xfId="0" applyNumberFormat="1" applyFont="1" applyFill="1" applyBorder="1"/>
    <xf numFmtId="167" fontId="19" fillId="0" borderId="1" xfId="4" applyNumberFormat="1" applyFont="1" applyBorder="1" applyAlignment="1">
      <alignment horizontal="left" vertical="top"/>
    </xf>
    <xf numFmtId="0" fontId="12" fillId="0" borderId="1" xfId="0" applyFont="1" applyBorder="1" applyAlignment="1">
      <alignment vertical="top" wrapText="1"/>
    </xf>
    <xf numFmtId="0" fontId="25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5" fillId="0" borderId="4" xfId="0" applyFont="1" applyBorder="1"/>
    <xf numFmtId="0" fontId="25" fillId="0" borderId="13" xfId="0" applyFont="1" applyBorder="1"/>
    <xf numFmtId="0" fontId="25" fillId="0" borderId="0" xfId="0" applyFont="1"/>
    <xf numFmtId="0" fontId="9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20" fillId="2" borderId="1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vertical="center"/>
    </xf>
    <xf numFmtId="43" fontId="12" fillId="0" borderId="1" xfId="1" applyFont="1" applyBorder="1"/>
    <xf numFmtId="167" fontId="19" fillId="0" borderId="0" xfId="4" applyNumberFormat="1" applyFont="1" applyBorder="1" applyAlignment="1">
      <alignment horizontal="right" vertical="top"/>
    </xf>
    <xf numFmtId="0" fontId="21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167" fontId="19" fillId="0" borderId="6" xfId="4" applyNumberFormat="1" applyFont="1" applyBorder="1" applyAlignment="1">
      <alignment horizontal="center" vertical="top"/>
    </xf>
    <xf numFmtId="164" fontId="25" fillId="3" borderId="1" xfId="1" applyNumberFormat="1" applyFont="1" applyFill="1" applyBorder="1"/>
    <xf numFmtId="0" fontId="12" fillId="0" borderId="1" xfId="0" applyFont="1" applyBorder="1" applyAlignment="1">
      <alignment horizontal="center" vertical="center"/>
    </xf>
    <xf numFmtId="164" fontId="19" fillId="2" borderId="1" xfId="1" applyNumberFormat="1" applyFont="1" applyFill="1" applyBorder="1" applyAlignment="1">
      <alignment horizontal="center"/>
    </xf>
    <xf numFmtId="164" fontId="19" fillId="2" borderId="1" xfId="3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43" fontId="11" fillId="3" borderId="1" xfId="1" applyFont="1" applyFill="1" applyBorder="1"/>
    <xf numFmtId="0" fontId="11" fillId="2" borderId="0" xfId="0" applyFont="1" applyFill="1"/>
    <xf numFmtId="0" fontId="11" fillId="14" borderId="1" xfId="0" applyFont="1" applyFill="1" applyBorder="1"/>
    <xf numFmtId="43" fontId="11" fillId="0" borderId="1" xfId="1" applyFont="1" applyBorder="1" applyAlignment="1">
      <alignment vertical="center"/>
    </xf>
    <xf numFmtId="43" fontId="11" fillId="0" borderId="1" xfId="0" applyNumberFormat="1" applyFont="1" applyBorder="1"/>
    <xf numFmtId="43" fontId="11" fillId="0" borderId="1" xfId="1" applyFont="1" applyBorder="1" applyAlignment="1">
      <alignment vertical="top"/>
    </xf>
    <xf numFmtId="43" fontId="12" fillId="0" borderId="1" xfId="1" applyFont="1" applyBorder="1" applyAlignment="1">
      <alignment horizontal="center"/>
    </xf>
    <xf numFmtId="43" fontId="11" fillId="0" borderId="0" xfId="1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top"/>
    </xf>
    <xf numFmtId="0" fontId="25" fillId="0" borderId="4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11" fillId="2" borderId="3" xfId="0" applyFont="1" applyFill="1" applyBorder="1"/>
    <xf numFmtId="164" fontId="11" fillId="2" borderId="1" xfId="1" applyNumberFormat="1" applyFont="1" applyFill="1" applyBorder="1"/>
    <xf numFmtId="164" fontId="11" fillId="2" borderId="1" xfId="1" applyNumberFormat="1" applyFont="1" applyFill="1" applyBorder="1" applyAlignment="1">
      <alignment horizontal="left"/>
    </xf>
    <xf numFmtId="14" fontId="12" fillId="0" borderId="1" xfId="0" applyNumberFormat="1" applyFont="1" applyBorder="1"/>
    <xf numFmtId="164" fontId="11" fillId="2" borderId="1" xfId="1" applyNumberFormat="1" applyFont="1" applyFill="1" applyBorder="1" applyAlignment="1">
      <alignment horizontal="right"/>
    </xf>
    <xf numFmtId="0" fontId="11" fillId="10" borderId="1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right" wrapText="1"/>
    </xf>
    <xf numFmtId="0" fontId="11" fillId="7" borderId="1" xfId="0" applyFont="1" applyFill="1" applyBorder="1" applyAlignment="1">
      <alignment horizontal="right"/>
    </xf>
    <xf numFmtId="0" fontId="14" fillId="7" borderId="1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right"/>
    </xf>
    <xf numFmtId="0" fontId="11" fillId="14" borderId="1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4" fillId="7" borderId="4" xfId="0" applyFont="1" applyFill="1" applyBorder="1" applyAlignment="1">
      <alignment horizontal="center" wrapText="1"/>
    </xf>
    <xf numFmtId="0" fontId="14" fillId="7" borderId="2" xfId="0" applyFont="1" applyFill="1" applyBorder="1" applyAlignment="1">
      <alignment horizontal="center" wrapText="1"/>
    </xf>
    <xf numFmtId="0" fontId="14" fillId="7" borderId="3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left" vertical="top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25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/>
    </xf>
    <xf numFmtId="0" fontId="11" fillId="3" borderId="4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18" fillId="0" borderId="1" xfId="3" applyFont="1" applyBorder="1" applyAlignment="1">
      <alignment horizontal="center"/>
    </xf>
    <xf numFmtId="0" fontId="20" fillId="3" borderId="1" xfId="3" applyFont="1" applyFill="1" applyBorder="1" applyAlignment="1">
      <alignment horizontal="right" vertical="center"/>
    </xf>
    <xf numFmtId="0" fontId="20" fillId="3" borderId="1" xfId="3" applyFont="1" applyFill="1" applyBorder="1" applyAlignment="1">
      <alignment horizontal="right"/>
    </xf>
    <xf numFmtId="0" fontId="20" fillId="9" borderId="1" xfId="3" applyFont="1" applyFill="1" applyBorder="1" applyAlignment="1">
      <alignment horizontal="right"/>
    </xf>
    <xf numFmtId="167" fontId="19" fillId="0" borderId="5" xfId="4" applyNumberFormat="1" applyFont="1" applyBorder="1" applyAlignment="1">
      <alignment horizontal="center" vertical="top"/>
    </xf>
    <xf numFmtId="167" fontId="19" fillId="0" borderId="6" xfId="4" applyNumberFormat="1" applyFont="1" applyBorder="1" applyAlignment="1">
      <alignment horizontal="center" vertical="top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" fillId="2" borderId="4" xfId="0" applyFont="1" applyFill="1" applyBorder="1" applyAlignment="1">
      <alignment horizontal="right" indent="1"/>
    </xf>
    <xf numFmtId="0" fontId="3" fillId="2" borderId="2" xfId="0" applyFont="1" applyFill="1" applyBorder="1" applyAlignment="1">
      <alignment horizontal="right" indent="1"/>
    </xf>
    <xf numFmtId="0" fontId="3" fillId="2" borderId="3" xfId="0" applyFont="1" applyFill="1" applyBorder="1" applyAlignment="1">
      <alignment horizontal="right" inden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12" fillId="15" borderId="1" xfId="0" applyFont="1" applyFill="1" applyBorder="1" applyAlignment="1">
      <alignment vertical="top" wrapText="1"/>
    </xf>
    <xf numFmtId="43" fontId="11" fillId="15" borderId="1" xfId="1" applyFont="1" applyFill="1" applyBorder="1" applyAlignment="1">
      <alignment vertical="top"/>
    </xf>
    <xf numFmtId="0" fontId="11" fillId="15" borderId="1" xfId="0" applyFont="1" applyFill="1" applyBorder="1"/>
    <xf numFmtId="0" fontId="8" fillId="0" borderId="1" xfId="0" applyFont="1" applyBorder="1" applyAlignment="1">
      <alignment horizontal="center"/>
    </xf>
  </cellXfs>
  <cellStyles count="5">
    <cellStyle name="Comma" xfId="1" builtinId="3"/>
    <cellStyle name="Comma 2" xfId="4" xr:uid="{18C86F4F-41B6-4FC3-9B9F-3A68C44F093F}"/>
    <cellStyle name="Normal" xfId="0" builtinId="0"/>
    <cellStyle name="Normal 2" xfId="3" xr:uid="{C75B7C26-37BE-4B7E-B1F3-08A77D1A64F8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08C5-B0D7-4BF0-BC28-91CA5A5E76FC}">
  <dimension ref="A2:P20"/>
  <sheetViews>
    <sheetView tabSelected="1" zoomScale="98" zoomScaleNormal="98" workbookViewId="0">
      <selection activeCell="E13" sqref="E13"/>
    </sheetView>
  </sheetViews>
  <sheetFormatPr defaultRowHeight="14.5" x14ac:dyDescent="0.35"/>
  <cols>
    <col min="1" max="1" width="2.54296875" bestFit="1" customWidth="1"/>
    <col min="2" max="2" width="11.08984375" bestFit="1" customWidth="1"/>
    <col min="3" max="3" width="11.90625" bestFit="1" customWidth="1"/>
    <col min="4" max="4" width="16.453125" bestFit="1" customWidth="1"/>
    <col min="5" max="5" width="23.453125" bestFit="1" customWidth="1"/>
    <col min="6" max="6" width="20.90625" bestFit="1" customWidth="1"/>
    <col min="7" max="7" width="12.54296875" bestFit="1" customWidth="1"/>
    <col min="8" max="8" width="21.08984375" bestFit="1" customWidth="1"/>
    <col min="9" max="9" width="23.36328125" bestFit="1" customWidth="1"/>
    <col min="10" max="10" width="16.90625" bestFit="1" customWidth="1"/>
    <col min="11" max="11" width="18.08984375" bestFit="1" customWidth="1"/>
    <col min="12" max="12" width="17.90625" customWidth="1"/>
    <col min="13" max="13" width="11.453125" bestFit="1" customWidth="1"/>
    <col min="14" max="16" width="13.36328125" bestFit="1" customWidth="1"/>
  </cols>
  <sheetData>
    <row r="2" spans="1:16" x14ac:dyDescent="0.35">
      <c r="A2" s="126"/>
      <c r="B2" s="126"/>
      <c r="C2" s="216"/>
      <c r="D2" s="216"/>
      <c r="E2" s="216"/>
      <c r="F2" s="217" t="s">
        <v>86</v>
      </c>
      <c r="G2" s="218"/>
      <c r="H2" s="218"/>
      <c r="I2" s="218"/>
      <c r="J2" s="218"/>
      <c r="K2" s="218"/>
      <c r="L2" s="219"/>
      <c r="M2" s="127" t="s">
        <v>73</v>
      </c>
      <c r="N2" s="130"/>
      <c r="O2" s="130"/>
    </row>
    <row r="3" spans="1:16" x14ac:dyDescent="0.35">
      <c r="A3" s="126"/>
      <c r="B3" s="126"/>
      <c r="C3" s="217" t="s">
        <v>71</v>
      </c>
      <c r="D3" s="218"/>
      <c r="E3" s="219"/>
      <c r="F3" s="143"/>
      <c r="G3" s="144"/>
      <c r="H3" s="144"/>
      <c r="I3" s="216" t="s">
        <v>95</v>
      </c>
      <c r="J3" s="216"/>
      <c r="K3" s="216"/>
      <c r="L3" s="216"/>
      <c r="M3" s="127"/>
      <c r="N3" s="130"/>
      <c r="O3" s="130"/>
    </row>
    <row r="4" spans="1:16" x14ac:dyDescent="0.35">
      <c r="A4" s="25" t="s">
        <v>9</v>
      </c>
      <c r="B4" s="25" t="s">
        <v>14</v>
      </c>
      <c r="C4" s="25" t="s">
        <v>68</v>
      </c>
      <c r="D4" s="25" t="s">
        <v>69</v>
      </c>
      <c r="E4" s="25" t="s">
        <v>70</v>
      </c>
      <c r="F4" s="25" t="s">
        <v>74</v>
      </c>
      <c r="G4" s="25" t="s">
        <v>97</v>
      </c>
      <c r="H4" s="25" t="s">
        <v>92</v>
      </c>
      <c r="I4" s="25" t="s">
        <v>93</v>
      </c>
      <c r="J4" s="25" t="s">
        <v>94</v>
      </c>
      <c r="K4" s="45" t="s">
        <v>91</v>
      </c>
      <c r="L4" s="25" t="s">
        <v>85</v>
      </c>
      <c r="M4" s="125"/>
      <c r="N4" s="140"/>
      <c r="O4" s="130"/>
    </row>
    <row r="5" spans="1:16" x14ac:dyDescent="0.35">
      <c r="A5" s="25">
        <v>1</v>
      </c>
      <c r="B5" s="25" t="s">
        <v>72</v>
      </c>
      <c r="C5" s="27">
        <f>'Client &amp; PO'!C11</f>
        <v>0</v>
      </c>
      <c r="D5" s="27">
        <f>'Client &amp; PO'!D11+'Client &amp; PO'!E11</f>
        <v>0</v>
      </c>
      <c r="E5" s="27">
        <f>'Client &amp; PO'!G11</f>
        <v>0</v>
      </c>
      <c r="F5" s="27">
        <f>'SNS Issue PO &amp; Expenditure (2)'!E20</f>
        <v>0</v>
      </c>
      <c r="G5" s="27">
        <f>SE!D9</f>
        <v>0</v>
      </c>
      <c r="H5" s="27">
        <f>'Salary and Conveyance'!E32</f>
        <v>0</v>
      </c>
      <c r="I5" s="27" t="e">
        <f>'Expenditure &amp; Received Amount '!#REF!</f>
        <v>#REF!</v>
      </c>
      <c r="J5" s="27"/>
      <c r="K5" s="27"/>
      <c r="L5" s="27"/>
      <c r="M5" s="28"/>
      <c r="N5" s="137"/>
      <c r="O5" s="129"/>
      <c r="P5" s="152"/>
    </row>
    <row r="6" spans="1:16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125"/>
      <c r="N6" s="128"/>
      <c r="O6" s="132"/>
      <c r="P6" s="128"/>
    </row>
    <row r="7" spans="1:16" x14ac:dyDescent="0.35">
      <c r="A7" s="25"/>
      <c r="B7" s="25"/>
      <c r="C7" s="25"/>
      <c r="D7" s="28"/>
      <c r="E7" s="28"/>
      <c r="F7" s="25"/>
      <c r="G7" s="25"/>
      <c r="H7" s="25"/>
      <c r="I7" s="25"/>
      <c r="J7" s="25"/>
      <c r="K7" s="25"/>
      <c r="L7" s="25"/>
      <c r="M7" s="125"/>
      <c r="N7" s="128"/>
      <c r="O7" s="128"/>
    </row>
    <row r="8" spans="1:16" x14ac:dyDescent="0.35">
      <c r="A8" s="25"/>
      <c r="B8" s="25"/>
      <c r="C8" s="25"/>
      <c r="D8" s="28"/>
      <c r="E8" s="25"/>
      <c r="F8" s="25"/>
      <c r="G8" s="25"/>
      <c r="H8" s="25"/>
      <c r="I8" s="25"/>
      <c r="J8" s="25"/>
      <c r="K8" s="25"/>
      <c r="L8" s="25"/>
      <c r="M8" s="198">
        <f>M5-M7</f>
        <v>0</v>
      </c>
      <c r="N8" s="133"/>
    </row>
    <row r="9" spans="1:16" x14ac:dyDescent="0.35">
      <c r="A9" s="25"/>
      <c r="B9" s="25"/>
      <c r="C9" s="25"/>
      <c r="D9" s="28"/>
      <c r="E9" s="25"/>
      <c r="F9" s="25"/>
      <c r="G9" s="25"/>
      <c r="H9" s="25"/>
      <c r="I9" s="25"/>
      <c r="J9" s="25"/>
      <c r="K9" s="25"/>
      <c r="L9" s="25"/>
      <c r="M9" s="125"/>
    </row>
    <row r="10" spans="1:16" x14ac:dyDescent="0.35">
      <c r="A10" s="25"/>
      <c r="B10" s="25"/>
      <c r="C10" s="25"/>
      <c r="D10" s="28"/>
      <c r="E10" s="25"/>
      <c r="F10" s="25"/>
      <c r="G10" s="25"/>
      <c r="H10" s="25"/>
      <c r="I10" s="25"/>
      <c r="J10" s="25"/>
      <c r="K10" s="25"/>
      <c r="L10" s="25"/>
      <c r="M10" s="125"/>
      <c r="N10" s="128"/>
    </row>
    <row r="11" spans="1:16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25"/>
      <c r="N11" s="130"/>
    </row>
    <row r="12" spans="1:16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25"/>
      <c r="N12" s="130"/>
      <c r="O12" s="130"/>
    </row>
    <row r="13" spans="1:16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25"/>
    </row>
    <row r="14" spans="1:16" x14ac:dyDescent="0.3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25"/>
    </row>
    <row r="15" spans="1:16" x14ac:dyDescent="0.3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125"/>
    </row>
    <row r="16" spans="1:16" x14ac:dyDescent="0.3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125"/>
    </row>
    <row r="17" spans="5:13" x14ac:dyDescent="0.35">
      <c r="M17" s="130"/>
    </row>
    <row r="18" spans="5:13" x14ac:dyDescent="0.35">
      <c r="E18" s="130"/>
    </row>
    <row r="19" spans="5:13" x14ac:dyDescent="0.35">
      <c r="F19" s="130"/>
    </row>
    <row r="20" spans="5:13" x14ac:dyDescent="0.35">
      <c r="F20" s="130"/>
    </row>
  </sheetData>
  <mergeCells count="4">
    <mergeCell ref="C2:E2"/>
    <mergeCell ref="F2:L2"/>
    <mergeCell ref="I3:L3"/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E14C-D40A-407B-86F7-7BCE004B97C2}">
  <dimension ref="A1:J44"/>
  <sheetViews>
    <sheetView topLeftCell="A29" zoomScale="110" zoomScaleNormal="110" workbookViewId="0">
      <selection activeCell="G31" sqref="G31"/>
    </sheetView>
  </sheetViews>
  <sheetFormatPr defaultColWidth="9.08984375" defaultRowHeight="14" x14ac:dyDescent="0.3"/>
  <cols>
    <col min="1" max="1" width="4.08984375" style="24" bestFit="1" customWidth="1"/>
    <col min="2" max="2" width="13.1796875" style="24" bestFit="1" customWidth="1"/>
    <col min="3" max="3" width="43.26953125" style="24" bestFit="1" customWidth="1"/>
    <col min="4" max="4" width="18.6328125" style="24" bestFit="1" customWidth="1"/>
    <col min="5" max="5" width="4.08984375" style="24" bestFit="1" customWidth="1"/>
    <col min="6" max="6" width="4.81640625" style="24" bestFit="1" customWidth="1"/>
    <col min="7" max="7" width="34" style="24" customWidth="1"/>
    <col min="8" max="8" width="58" style="24" bestFit="1" customWidth="1"/>
    <col min="9" max="9" width="13.90625" style="24" bestFit="1" customWidth="1"/>
    <col min="10" max="10" width="62.26953125" style="24" bestFit="1" customWidth="1"/>
    <col min="11" max="11" width="10.54296875" style="24" bestFit="1" customWidth="1"/>
    <col min="12" max="16384" width="9.08984375" style="24"/>
  </cols>
  <sheetData>
    <row r="1" spans="1:10" ht="15" x14ac:dyDescent="0.3">
      <c r="A1" s="226" t="s">
        <v>24</v>
      </c>
      <c r="B1" s="227"/>
      <c r="C1" s="227"/>
      <c r="D1" s="227"/>
      <c r="E1" s="227"/>
      <c r="F1" s="227"/>
      <c r="G1" s="227"/>
      <c r="H1" s="227"/>
      <c r="I1" s="227"/>
      <c r="J1" s="227"/>
    </row>
    <row r="2" spans="1:10" ht="18" x14ac:dyDescent="0.4">
      <c r="A2" s="228" t="s">
        <v>26</v>
      </c>
      <c r="B2" s="228"/>
      <c r="C2" s="228"/>
      <c r="D2" s="228"/>
      <c r="E2" s="230" t="s">
        <v>21</v>
      </c>
      <c r="F2" s="231"/>
      <c r="G2" s="231"/>
      <c r="H2" s="231"/>
      <c r="I2" s="231"/>
      <c r="J2" s="232"/>
    </row>
    <row r="3" spans="1:10" x14ac:dyDescent="0.3">
      <c r="A3" s="46" t="s">
        <v>22</v>
      </c>
      <c r="B3" s="46" t="s">
        <v>2</v>
      </c>
      <c r="C3" s="47" t="s">
        <v>14</v>
      </c>
      <c r="D3" s="46" t="s">
        <v>23</v>
      </c>
      <c r="E3" s="46" t="s">
        <v>22</v>
      </c>
      <c r="F3" s="47" t="s">
        <v>11</v>
      </c>
      <c r="G3" s="47" t="s">
        <v>25</v>
      </c>
      <c r="H3" s="47" t="s">
        <v>14</v>
      </c>
      <c r="I3" s="46" t="s">
        <v>6</v>
      </c>
      <c r="J3" s="47" t="s">
        <v>20</v>
      </c>
    </row>
    <row r="4" spans="1:10" x14ac:dyDescent="0.3">
      <c r="A4" s="25"/>
      <c r="B4" s="25"/>
      <c r="C4" s="25"/>
      <c r="D4" s="124"/>
      <c r="E4" s="25"/>
      <c r="F4" s="25"/>
      <c r="G4" s="25"/>
      <c r="H4" s="211"/>
      <c r="I4" s="124"/>
      <c r="J4" s="25"/>
    </row>
    <row r="5" spans="1:10" x14ac:dyDescent="0.3">
      <c r="A5" s="25"/>
      <c r="B5" s="25"/>
      <c r="C5" s="25"/>
      <c r="D5" s="124"/>
      <c r="E5" s="25"/>
      <c r="F5" s="25"/>
      <c r="G5" s="25"/>
      <c r="H5" s="25"/>
      <c r="I5" s="25"/>
      <c r="J5" s="25"/>
    </row>
    <row r="6" spans="1:10" x14ac:dyDescent="0.3">
      <c r="A6" s="223" t="s">
        <v>111</v>
      </c>
      <c r="B6" s="223"/>
      <c r="C6" s="223"/>
      <c r="D6" s="57">
        <f>SUM(D4:D5)</f>
        <v>0</v>
      </c>
      <c r="E6" s="58"/>
      <c r="F6" s="58"/>
      <c r="G6" s="58"/>
      <c r="H6" s="136" t="s">
        <v>110</v>
      </c>
      <c r="I6" s="58">
        <f>SUM(I4:I5)</f>
        <v>0</v>
      </c>
      <c r="J6" s="25"/>
    </row>
    <row r="7" spans="1:10" x14ac:dyDescent="0.3">
      <c r="A7" s="221" t="s">
        <v>16</v>
      </c>
      <c r="B7" s="221"/>
      <c r="C7" s="221"/>
      <c r="D7" s="59">
        <f>I6</f>
        <v>0</v>
      </c>
      <c r="E7" s="60"/>
      <c r="F7" s="60"/>
      <c r="G7" s="60"/>
      <c r="H7" s="138" t="s">
        <v>83</v>
      </c>
      <c r="I7" s="28"/>
      <c r="J7" s="28"/>
    </row>
    <row r="8" spans="1:10" x14ac:dyDescent="0.3">
      <c r="A8" s="220" t="s">
        <v>112</v>
      </c>
      <c r="B8" s="220"/>
      <c r="C8" s="220"/>
      <c r="D8" s="61">
        <f>D6-D7</f>
        <v>0</v>
      </c>
      <c r="E8" s="58"/>
      <c r="F8" s="58"/>
      <c r="G8" s="58"/>
      <c r="H8" s="136" t="s">
        <v>84</v>
      </c>
      <c r="I8" s="28"/>
      <c r="J8" s="28"/>
    </row>
    <row r="9" spans="1:10" x14ac:dyDescent="0.3">
      <c r="A9" s="224" t="s">
        <v>109</v>
      </c>
      <c r="B9" s="224"/>
      <c r="C9" s="224"/>
      <c r="D9" s="201"/>
      <c r="E9" s="25"/>
      <c r="F9" s="25"/>
      <c r="G9" s="25"/>
      <c r="H9" s="25"/>
      <c r="I9" s="25"/>
      <c r="J9" s="25"/>
    </row>
    <row r="10" spans="1:10" x14ac:dyDescent="0.3">
      <c r="A10" s="225" t="s">
        <v>113</v>
      </c>
      <c r="B10" s="225"/>
      <c r="C10" s="225"/>
      <c r="D10" s="156">
        <f>D8+D9</f>
        <v>0</v>
      </c>
      <c r="E10" s="25"/>
      <c r="F10" s="25"/>
      <c r="G10" s="25"/>
      <c r="H10" s="25"/>
      <c r="I10" s="25"/>
      <c r="J10" s="25"/>
    </row>
    <row r="11" spans="1:10" x14ac:dyDescent="0.3">
      <c r="D11" s="146"/>
    </row>
    <row r="12" spans="1:10" x14ac:dyDescent="0.3">
      <c r="D12" s="30"/>
    </row>
    <row r="14" spans="1:10" ht="18" x14ac:dyDescent="0.4">
      <c r="A14" s="228" t="s">
        <v>114</v>
      </c>
      <c r="B14" s="228"/>
      <c r="C14" s="228"/>
      <c r="D14" s="228"/>
      <c r="E14" s="222" t="s">
        <v>21</v>
      </c>
      <c r="F14" s="222"/>
      <c r="G14" s="222"/>
      <c r="H14" s="222"/>
      <c r="I14" s="222"/>
      <c r="J14" s="222"/>
    </row>
    <row r="15" spans="1:10" x14ac:dyDescent="0.3">
      <c r="A15" s="46" t="s">
        <v>22</v>
      </c>
      <c r="B15" s="46" t="s">
        <v>2</v>
      </c>
      <c r="C15" s="47" t="s">
        <v>14</v>
      </c>
      <c r="D15" s="46" t="s">
        <v>23</v>
      </c>
      <c r="E15" s="46" t="s">
        <v>22</v>
      </c>
      <c r="F15" s="47" t="s">
        <v>11</v>
      </c>
      <c r="G15" s="47" t="s">
        <v>25</v>
      </c>
      <c r="H15" s="47" t="s">
        <v>14</v>
      </c>
      <c r="I15" s="46" t="s">
        <v>6</v>
      </c>
      <c r="J15" s="47" t="s">
        <v>20</v>
      </c>
    </row>
    <row r="16" spans="1:10" x14ac:dyDescent="0.3">
      <c r="A16" s="25"/>
      <c r="B16" s="25"/>
      <c r="C16" s="25"/>
      <c r="D16" s="25"/>
      <c r="E16" s="25"/>
      <c r="F16" s="25"/>
      <c r="G16" s="25"/>
      <c r="H16" s="25"/>
      <c r="I16" s="124"/>
      <c r="J16" s="25"/>
    </row>
    <row r="17" spans="1:10" s="147" customFormat="1" ht="63.75" customHeight="1" x14ac:dyDescent="0.35">
      <c r="A17" s="192"/>
      <c r="B17" s="56"/>
      <c r="C17" s="192"/>
      <c r="D17" s="202"/>
      <c r="E17" s="192"/>
      <c r="F17" s="192"/>
      <c r="G17" s="192"/>
      <c r="H17" s="192"/>
      <c r="I17" s="202"/>
      <c r="J17" s="141"/>
    </row>
    <row r="18" spans="1:10" x14ac:dyDescent="0.3">
      <c r="A18" s="25"/>
      <c r="B18" s="25"/>
      <c r="C18" s="25"/>
      <c r="D18" s="25"/>
      <c r="E18" s="25"/>
      <c r="F18" s="25"/>
      <c r="G18" s="25"/>
      <c r="H18" s="25"/>
      <c r="I18" s="124"/>
      <c r="J18" s="25"/>
    </row>
    <row r="19" spans="1:10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</row>
    <row r="20" spans="1:10" x14ac:dyDescent="0.3">
      <c r="A20" s="223" t="s">
        <v>115</v>
      </c>
      <c r="B20" s="223"/>
      <c r="C20" s="223"/>
      <c r="D20" s="57">
        <f>SUM(D17:D19)</f>
        <v>0</v>
      </c>
      <c r="E20" s="58"/>
      <c r="F20" s="58"/>
      <c r="G20" s="58"/>
      <c r="H20" s="136" t="s">
        <v>118</v>
      </c>
      <c r="I20" s="58">
        <f>SUM(I16:I19)</f>
        <v>0</v>
      </c>
      <c r="J20" s="25"/>
    </row>
    <row r="21" spans="1:10" x14ac:dyDescent="0.3">
      <c r="A21" s="221" t="s">
        <v>16</v>
      </c>
      <c r="B21" s="221"/>
      <c r="C21" s="221"/>
      <c r="D21" s="59">
        <f>I20</f>
        <v>0</v>
      </c>
      <c r="E21" s="60"/>
      <c r="F21" s="60"/>
      <c r="G21" s="60"/>
      <c r="H21" s="138" t="s">
        <v>83</v>
      </c>
      <c r="I21" s="28"/>
      <c r="J21" s="28"/>
    </row>
    <row r="22" spans="1:10" x14ac:dyDescent="0.3">
      <c r="A22" s="220" t="s">
        <v>116</v>
      </c>
      <c r="B22" s="220"/>
      <c r="C22" s="220"/>
      <c r="D22" s="61">
        <f>D20-D21</f>
        <v>0</v>
      </c>
      <c r="E22" s="58"/>
      <c r="F22" s="58"/>
      <c r="G22" s="58"/>
      <c r="H22" s="136" t="s">
        <v>84</v>
      </c>
      <c r="I22" s="28"/>
      <c r="J22" s="28"/>
    </row>
    <row r="24" spans="1:10" ht="15" x14ac:dyDescent="0.3">
      <c r="A24" s="226" t="s">
        <v>119</v>
      </c>
      <c r="B24" s="227"/>
      <c r="C24" s="227"/>
      <c r="D24" s="227"/>
      <c r="E24" s="227"/>
      <c r="F24" s="227"/>
      <c r="G24" s="227"/>
      <c r="H24" s="227"/>
      <c r="I24" s="227"/>
      <c r="J24" s="227"/>
    </row>
    <row r="25" spans="1:10" ht="18" x14ac:dyDescent="0.4">
      <c r="A25" s="228" t="s">
        <v>120</v>
      </c>
      <c r="B25" s="228"/>
      <c r="C25" s="228"/>
      <c r="D25" s="228"/>
      <c r="E25" s="222" t="s">
        <v>21</v>
      </c>
      <c r="F25" s="222"/>
      <c r="G25" s="222"/>
      <c r="H25" s="222"/>
      <c r="I25" s="222"/>
      <c r="J25" s="222"/>
    </row>
    <row r="26" spans="1:10" x14ac:dyDescent="0.3">
      <c r="A26" s="46" t="s">
        <v>22</v>
      </c>
      <c r="B26" s="46" t="s">
        <v>2</v>
      </c>
      <c r="C26" s="47" t="s">
        <v>14</v>
      </c>
      <c r="D26" s="46" t="s">
        <v>23</v>
      </c>
      <c r="E26" s="46" t="s">
        <v>22</v>
      </c>
      <c r="F26" s="47" t="s">
        <v>11</v>
      </c>
      <c r="G26" s="47" t="s">
        <v>25</v>
      </c>
      <c r="H26" s="47" t="s">
        <v>14</v>
      </c>
      <c r="I26" s="46" t="s">
        <v>6</v>
      </c>
      <c r="J26" s="47" t="s">
        <v>20</v>
      </c>
    </row>
    <row r="27" spans="1:10" x14ac:dyDescent="0.3">
      <c r="D27" s="146"/>
      <c r="I27" s="146"/>
    </row>
    <row r="29" spans="1:10" x14ac:dyDescent="0.3">
      <c r="A29" s="223" t="s">
        <v>115</v>
      </c>
      <c r="B29" s="223"/>
      <c r="C29" s="223"/>
      <c r="D29" s="57">
        <f>SUM(D26:D28)</f>
        <v>0</v>
      </c>
      <c r="E29" s="58"/>
      <c r="F29" s="58"/>
      <c r="G29" s="58"/>
      <c r="H29" s="136" t="s">
        <v>118</v>
      </c>
      <c r="I29" s="58">
        <f>SUM(I25:I28)</f>
        <v>0</v>
      </c>
      <c r="J29" s="25"/>
    </row>
    <row r="30" spans="1:10" x14ac:dyDescent="0.3">
      <c r="A30" s="221" t="s">
        <v>16</v>
      </c>
      <c r="B30" s="221"/>
      <c r="C30" s="221"/>
      <c r="D30" s="59">
        <f>I29</f>
        <v>0</v>
      </c>
      <c r="E30" s="60"/>
      <c r="F30" s="60"/>
      <c r="G30" s="60"/>
      <c r="H30" s="138" t="s">
        <v>83</v>
      </c>
      <c r="I30" s="28"/>
      <c r="J30" s="28"/>
    </row>
    <row r="31" spans="1:10" x14ac:dyDescent="0.3">
      <c r="A31" s="220" t="s">
        <v>116</v>
      </c>
      <c r="B31" s="220"/>
      <c r="C31" s="220"/>
      <c r="D31" s="61">
        <f>D29-D30</f>
        <v>0</v>
      </c>
      <c r="E31" s="58"/>
      <c r="F31" s="58"/>
      <c r="G31" s="58"/>
      <c r="H31" s="136" t="s">
        <v>84</v>
      </c>
      <c r="I31" s="28"/>
      <c r="J31" s="28"/>
    </row>
    <row r="33" spans="1:10" ht="15" x14ac:dyDescent="0.3">
      <c r="A33" s="226" t="s">
        <v>119</v>
      </c>
      <c r="B33" s="227"/>
      <c r="C33" s="227"/>
      <c r="D33" s="227"/>
      <c r="E33" s="227"/>
      <c r="F33" s="227"/>
      <c r="G33" s="227"/>
      <c r="H33" s="227"/>
      <c r="I33" s="227"/>
      <c r="J33" s="227"/>
    </row>
    <row r="34" spans="1:10" ht="18" x14ac:dyDescent="0.4">
      <c r="A34" s="228" t="s">
        <v>121</v>
      </c>
      <c r="B34" s="228"/>
      <c r="C34" s="228"/>
      <c r="D34" s="228"/>
      <c r="E34" s="222" t="s">
        <v>21</v>
      </c>
      <c r="F34" s="222"/>
      <c r="G34" s="222"/>
      <c r="H34" s="222"/>
      <c r="I34" s="222"/>
      <c r="J34" s="222"/>
    </row>
    <row r="35" spans="1:10" x14ac:dyDescent="0.3">
      <c r="A35" s="46" t="s">
        <v>22</v>
      </c>
      <c r="B35" s="46" t="s">
        <v>2</v>
      </c>
      <c r="C35" s="47" t="s">
        <v>14</v>
      </c>
      <c r="D35" s="46" t="s">
        <v>23</v>
      </c>
      <c r="E35" s="46" t="s">
        <v>22</v>
      </c>
      <c r="F35" s="47" t="s">
        <v>11</v>
      </c>
      <c r="G35" s="47" t="s">
        <v>25</v>
      </c>
      <c r="H35" s="47" t="s">
        <v>14</v>
      </c>
      <c r="I35" s="46" t="s">
        <v>6</v>
      </c>
      <c r="J35" s="47" t="s">
        <v>20</v>
      </c>
    </row>
    <row r="36" spans="1:10" ht="44.25" customHeight="1" x14ac:dyDescent="0.3">
      <c r="B36" s="119"/>
      <c r="C36" s="119"/>
      <c r="D36" s="206"/>
      <c r="F36" s="147"/>
      <c r="G36" s="207"/>
      <c r="H36" s="208"/>
      <c r="I36" s="146"/>
    </row>
    <row r="37" spans="1:10" x14ac:dyDescent="0.3">
      <c r="C37" s="119"/>
      <c r="D37" s="146"/>
      <c r="I37" s="146"/>
    </row>
    <row r="38" spans="1:10" x14ac:dyDescent="0.3">
      <c r="C38" s="119"/>
      <c r="D38" s="146"/>
      <c r="I38" s="146"/>
    </row>
    <row r="39" spans="1:10" x14ac:dyDescent="0.3">
      <c r="C39" s="119"/>
      <c r="D39" s="146"/>
      <c r="I39" s="146"/>
    </row>
    <row r="40" spans="1:10" x14ac:dyDescent="0.3">
      <c r="C40" s="119"/>
      <c r="D40" s="146"/>
      <c r="I40" s="146"/>
    </row>
    <row r="41" spans="1:10" x14ac:dyDescent="0.3">
      <c r="C41" s="119"/>
      <c r="D41" s="146"/>
      <c r="I41" s="146"/>
    </row>
    <row r="42" spans="1:10" x14ac:dyDescent="0.3">
      <c r="A42" s="223" t="s">
        <v>115</v>
      </c>
      <c r="B42" s="223"/>
      <c r="C42" s="223"/>
      <c r="D42" s="57">
        <f>SUM(D35:D37)</f>
        <v>0</v>
      </c>
      <c r="E42" s="58"/>
      <c r="F42" s="60"/>
      <c r="G42" s="58"/>
      <c r="H42" s="136" t="s">
        <v>122</v>
      </c>
      <c r="I42" s="58">
        <f>SUM(I34:I37)</f>
        <v>0</v>
      </c>
      <c r="J42" s="25"/>
    </row>
    <row r="43" spans="1:10" x14ac:dyDescent="0.3">
      <c r="A43" s="221" t="s">
        <v>16</v>
      </c>
      <c r="B43" s="221"/>
      <c r="C43" s="221"/>
      <c r="D43" s="59">
        <f>I42</f>
        <v>0</v>
      </c>
      <c r="E43" s="60"/>
      <c r="F43" s="60"/>
      <c r="G43" s="60"/>
      <c r="H43" s="138" t="s">
        <v>83</v>
      </c>
      <c r="I43" s="28"/>
      <c r="J43" s="28"/>
    </row>
    <row r="44" spans="1:10" x14ac:dyDescent="0.3">
      <c r="A44" s="220" t="s">
        <v>116</v>
      </c>
      <c r="B44" s="220"/>
      <c r="C44" s="220"/>
      <c r="D44" s="61">
        <f>D42-D43</f>
        <v>0</v>
      </c>
      <c r="E44" s="58"/>
      <c r="F44" s="58"/>
      <c r="G44" s="58"/>
      <c r="H44" s="136" t="s">
        <v>84</v>
      </c>
      <c r="I44" s="28"/>
      <c r="J44" s="28"/>
    </row>
  </sheetData>
  <mergeCells count="25">
    <mergeCell ref="A1:J1"/>
    <mergeCell ref="A2:D2"/>
    <mergeCell ref="E2:J2"/>
    <mergeCell ref="A33:J33"/>
    <mergeCell ref="A20:C20"/>
    <mergeCell ref="A21:C21"/>
    <mergeCell ref="A22:C22"/>
    <mergeCell ref="A31:C31"/>
    <mergeCell ref="A24:J24"/>
    <mergeCell ref="A25:D25"/>
    <mergeCell ref="E25:J25"/>
    <mergeCell ref="A29:C29"/>
    <mergeCell ref="A30:C30"/>
    <mergeCell ref="A44:C44"/>
    <mergeCell ref="A43:C43"/>
    <mergeCell ref="E14:J14"/>
    <mergeCell ref="A6:C6"/>
    <mergeCell ref="A7:C7"/>
    <mergeCell ref="A8:C8"/>
    <mergeCell ref="A9:C9"/>
    <mergeCell ref="A10:C10"/>
    <mergeCell ref="A14:D14"/>
    <mergeCell ref="A34:D34"/>
    <mergeCell ref="E34:J34"/>
    <mergeCell ref="A42:C42"/>
  </mergeCells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F31B-04A3-4148-AAC7-A5A494372C61}">
  <dimension ref="A2:K12"/>
  <sheetViews>
    <sheetView zoomScale="120" zoomScaleNormal="120" workbookViewId="0">
      <selection activeCell="D8" sqref="D8"/>
    </sheetView>
  </sheetViews>
  <sheetFormatPr defaultColWidth="9.08984375" defaultRowHeight="13" x14ac:dyDescent="0.3"/>
  <cols>
    <col min="1" max="1" width="3.54296875" style="167" bestFit="1" customWidth="1"/>
    <col min="2" max="2" width="40.54296875" style="159" bestFit="1" customWidth="1"/>
    <col min="3" max="3" width="12.6328125" style="158" bestFit="1" customWidth="1"/>
    <col min="4" max="5" width="11.6328125" style="159" bestFit="1" customWidth="1"/>
    <col min="6" max="6" width="10.26953125" style="159" bestFit="1" customWidth="1"/>
    <col min="7" max="7" width="11" style="159" bestFit="1" customWidth="1"/>
    <col min="8" max="8" width="14.08984375" style="159" bestFit="1" customWidth="1"/>
    <col min="9" max="9" width="35" style="159" bestFit="1" customWidth="1"/>
    <col min="10" max="10" width="9.08984375" style="160"/>
    <col min="11" max="11" width="13.54296875" style="160" customWidth="1"/>
    <col min="12" max="12" width="12.36328125" style="159" bestFit="1" customWidth="1"/>
    <col min="13" max="16384" width="9.08984375" style="159"/>
  </cols>
  <sheetData>
    <row r="2" spans="1:11" ht="13.5" thickBot="1" x14ac:dyDescent="0.35"/>
    <row r="3" spans="1:11" x14ac:dyDescent="0.3">
      <c r="A3" s="234" t="s">
        <v>61</v>
      </c>
      <c r="B3" s="235"/>
      <c r="C3" s="235"/>
      <c r="D3" s="235"/>
      <c r="E3" s="235"/>
      <c r="F3" s="235"/>
      <c r="G3" s="235"/>
      <c r="H3" s="235"/>
      <c r="I3" s="236"/>
    </row>
    <row r="4" spans="1:11" x14ac:dyDescent="0.3">
      <c r="A4" s="168"/>
      <c r="B4" s="161"/>
      <c r="C4" s="162"/>
      <c r="D4" s="239" t="s">
        <v>89</v>
      </c>
      <c r="E4" s="240"/>
      <c r="F4" s="241"/>
      <c r="G4" s="237" t="s">
        <v>99</v>
      </c>
      <c r="H4" s="238"/>
      <c r="I4" s="163"/>
    </row>
    <row r="5" spans="1:11" s="183" customFormat="1" x14ac:dyDescent="0.3">
      <c r="A5" s="179" t="s">
        <v>3</v>
      </c>
      <c r="B5" s="180" t="s">
        <v>98</v>
      </c>
      <c r="C5" s="180" t="s">
        <v>19</v>
      </c>
      <c r="D5" s="209" t="s">
        <v>90</v>
      </c>
      <c r="E5" s="209" t="s">
        <v>101</v>
      </c>
      <c r="F5" s="209" t="s">
        <v>108</v>
      </c>
      <c r="G5" s="209" t="s">
        <v>100</v>
      </c>
      <c r="H5" s="181" t="s">
        <v>27</v>
      </c>
      <c r="I5" s="182" t="s">
        <v>20</v>
      </c>
    </row>
    <row r="6" spans="1:11" x14ac:dyDescent="0.3">
      <c r="A6" s="195"/>
      <c r="B6" s="164"/>
      <c r="C6" s="205"/>
      <c r="D6" s="189"/>
      <c r="E6" s="164"/>
      <c r="F6" s="214"/>
      <c r="G6" s="38"/>
      <c r="H6" s="164"/>
      <c r="I6" s="164"/>
    </row>
    <row r="7" spans="1:11" x14ac:dyDescent="0.3">
      <c r="A7" s="195"/>
      <c r="B7" s="164"/>
      <c r="C7" s="205"/>
      <c r="D7" s="189"/>
      <c r="E7" s="164"/>
      <c r="F7" s="214"/>
      <c r="G7" s="38"/>
      <c r="H7" s="164"/>
      <c r="I7" s="164"/>
    </row>
    <row r="8" spans="1:11" x14ac:dyDescent="0.3">
      <c r="A8" s="195"/>
      <c r="B8" s="164"/>
      <c r="C8" s="205"/>
      <c r="D8" s="189"/>
      <c r="E8" s="164"/>
      <c r="F8" s="214"/>
      <c r="G8" s="38"/>
      <c r="H8" s="164"/>
      <c r="I8" s="164"/>
    </row>
    <row r="9" spans="1:11" x14ac:dyDescent="0.3">
      <c r="A9" s="195"/>
      <c r="B9" s="164"/>
      <c r="C9" s="205"/>
      <c r="D9" s="189"/>
      <c r="E9" s="164"/>
      <c r="F9" s="164"/>
      <c r="G9" s="38"/>
      <c r="H9" s="164"/>
      <c r="I9" s="164"/>
    </row>
    <row r="10" spans="1:11" x14ac:dyDescent="0.3">
      <c r="A10" s="195"/>
      <c r="B10" s="164"/>
      <c r="C10" s="205"/>
      <c r="D10" s="189"/>
      <c r="E10" s="164"/>
      <c r="F10" s="164"/>
      <c r="G10" s="38"/>
      <c r="H10" s="164"/>
      <c r="I10" s="164"/>
    </row>
    <row r="11" spans="1:11" x14ac:dyDescent="0.3">
      <c r="A11" s="195"/>
      <c r="B11" s="165" t="s">
        <v>64</v>
      </c>
      <c r="C11" s="166">
        <f>SUM(C6:C9)</f>
        <v>0</v>
      </c>
      <c r="D11" s="171">
        <f>SUM(D6:D10)</f>
        <v>0</v>
      </c>
      <c r="E11" s="171">
        <f>SUM(E6:E10)</f>
        <v>0</v>
      </c>
      <c r="F11" s="171"/>
      <c r="G11" s="194">
        <f>SUM(C11-D11-E11)</f>
        <v>0</v>
      </c>
      <c r="H11" s="171"/>
      <c r="I11" s="164"/>
    </row>
    <row r="12" spans="1:11" s="170" customFormat="1" ht="15" customHeight="1" x14ac:dyDescent="0.35">
      <c r="A12" s="242" t="s">
        <v>67</v>
      </c>
      <c r="B12" s="242"/>
      <c r="C12" s="242"/>
      <c r="D12" s="172">
        <f>D11+E11</f>
        <v>0</v>
      </c>
      <c r="E12" s="172"/>
      <c r="F12" s="172"/>
      <c r="G12" s="172"/>
      <c r="H12" s="172"/>
      <c r="I12" s="173"/>
      <c r="J12" s="169"/>
      <c r="K12" s="169"/>
    </row>
  </sheetData>
  <mergeCells count="4">
    <mergeCell ref="A3:I3"/>
    <mergeCell ref="G4:H4"/>
    <mergeCell ref="D4:F4"/>
    <mergeCell ref="A12:C12"/>
  </mergeCells>
  <phoneticPr fontId="1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5D62-DB80-498F-904A-8D6EE0681477}">
  <dimension ref="A2:R49"/>
  <sheetViews>
    <sheetView zoomScale="98" zoomScaleNormal="98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9.08984375" defaultRowHeight="14.5" x14ac:dyDescent="0.35"/>
  <cols>
    <col min="1" max="1" width="3.54296875" style="145" bestFit="1" customWidth="1"/>
    <col min="2" max="2" width="49.36328125" style="24" bestFit="1" customWidth="1"/>
    <col min="3" max="3" width="43.6328125" style="24" bestFit="1" customWidth="1"/>
    <col min="4" max="4" width="14.90625" style="200" bestFit="1" customWidth="1"/>
    <col min="5" max="5" width="16.36328125" style="24" bestFit="1" customWidth="1"/>
    <col min="6" max="6" width="14.453125" style="24" bestFit="1" customWidth="1"/>
    <col min="7" max="7" width="16.453125" style="24" customWidth="1"/>
    <col min="8" max="8" width="13.54296875" style="24" bestFit="1" customWidth="1"/>
    <col min="9" max="9" width="14.08984375" style="24" customWidth="1"/>
    <col min="10" max="10" width="14.36328125" style="24" customWidth="1"/>
    <col min="11" max="11" width="9.54296875" style="24" bestFit="1" customWidth="1"/>
    <col min="12" max="12" width="15.90625" style="24" bestFit="1" customWidth="1"/>
    <col min="13" max="13" width="14.08984375" style="24" bestFit="1" customWidth="1"/>
    <col min="14" max="14" width="11.6328125" style="24" bestFit="1" customWidth="1"/>
    <col min="15" max="15" width="10.36328125" style="24" bestFit="1" customWidth="1"/>
    <col min="16" max="16" width="24.36328125" style="24" bestFit="1" customWidth="1"/>
    <col min="17" max="18" width="8.90625" customWidth="1"/>
    <col min="19" max="16384" width="9.08984375" style="24"/>
  </cols>
  <sheetData>
    <row r="2" spans="1:16" x14ac:dyDescent="0.35">
      <c r="E2" s="244" t="s">
        <v>104</v>
      </c>
      <c r="F2" s="245"/>
      <c r="G2" s="175" t="s">
        <v>105</v>
      </c>
    </row>
    <row r="3" spans="1:16" s="44" customFormat="1" ht="14" x14ac:dyDescent="0.3">
      <c r="A3" s="148" t="s">
        <v>3</v>
      </c>
      <c r="B3" s="47" t="s">
        <v>34</v>
      </c>
      <c r="C3" s="47" t="s">
        <v>62</v>
      </c>
      <c r="D3" s="157" t="s">
        <v>102</v>
      </c>
      <c r="E3" s="157" t="s">
        <v>103</v>
      </c>
      <c r="F3" s="157" t="s">
        <v>75</v>
      </c>
      <c r="G3" s="184" t="s">
        <v>33</v>
      </c>
      <c r="H3" s="174" t="s">
        <v>36</v>
      </c>
      <c r="I3" s="47" t="s">
        <v>35</v>
      </c>
      <c r="J3" s="47" t="s">
        <v>33</v>
      </c>
      <c r="K3" s="47" t="s">
        <v>28</v>
      </c>
      <c r="L3" s="47" t="s">
        <v>30</v>
      </c>
      <c r="M3" s="47" t="s">
        <v>32</v>
      </c>
      <c r="N3" s="47" t="s">
        <v>29</v>
      </c>
      <c r="O3" s="47" t="s">
        <v>31</v>
      </c>
      <c r="P3" s="44" t="s">
        <v>20</v>
      </c>
    </row>
    <row r="4" spans="1:16" x14ac:dyDescent="0.35">
      <c r="A4" s="229"/>
      <c r="B4" s="233"/>
      <c r="C4" s="49"/>
      <c r="D4" s="213"/>
      <c r="E4" s="50"/>
      <c r="F4" s="50"/>
      <c r="G4" s="50"/>
      <c r="H4" s="50"/>
      <c r="I4" s="50"/>
      <c r="J4" s="65"/>
      <c r="K4" s="65"/>
      <c r="L4" s="62"/>
      <c r="M4" s="62"/>
      <c r="N4" s="62"/>
      <c r="O4" s="62"/>
    </row>
    <row r="5" spans="1:16" x14ac:dyDescent="0.35">
      <c r="A5" s="229"/>
      <c r="B5" s="233"/>
      <c r="C5" s="49"/>
      <c r="D5" s="50"/>
      <c r="E5" s="50"/>
      <c r="F5" s="50"/>
      <c r="G5" s="50"/>
      <c r="H5" s="50"/>
      <c r="I5" s="50"/>
      <c r="J5" s="65"/>
      <c r="K5" s="65"/>
      <c r="L5" s="62"/>
      <c r="M5" s="62"/>
      <c r="N5" s="62"/>
      <c r="O5" s="62"/>
    </row>
    <row r="6" spans="1:16" x14ac:dyDescent="0.35">
      <c r="A6" s="45"/>
      <c r="B6" s="48"/>
      <c r="C6" s="25"/>
      <c r="D6" s="212"/>
      <c r="E6" s="25"/>
      <c r="F6" s="27"/>
      <c r="G6" s="27"/>
      <c r="H6" s="50"/>
      <c r="I6" s="27"/>
      <c r="J6" s="48"/>
      <c r="K6" s="65"/>
      <c r="L6" s="62"/>
      <c r="M6" s="66"/>
      <c r="N6" s="62"/>
      <c r="O6" s="62"/>
      <c r="P6" s="50"/>
    </row>
    <row r="7" spans="1:16" x14ac:dyDescent="0.35">
      <c r="A7" s="45"/>
      <c r="B7" s="48"/>
      <c r="C7" s="25"/>
      <c r="D7" s="27"/>
      <c r="E7" s="25"/>
      <c r="F7" s="27"/>
      <c r="G7" s="27"/>
      <c r="H7" s="50"/>
      <c r="I7" s="27"/>
      <c r="J7" s="48"/>
      <c r="K7" s="48"/>
      <c r="L7" s="62"/>
      <c r="M7" s="38"/>
      <c r="N7" s="62"/>
      <c r="O7" s="62"/>
      <c r="P7" s="50"/>
    </row>
    <row r="8" spans="1:16" x14ac:dyDescent="0.35">
      <c r="A8" s="45"/>
      <c r="B8" s="25"/>
      <c r="C8" s="49"/>
      <c r="D8" s="215"/>
      <c r="E8" s="155"/>
      <c r="F8" s="50"/>
      <c r="G8" s="50"/>
      <c r="H8" s="50"/>
      <c r="I8" s="64"/>
      <c r="J8" s="48"/>
      <c r="K8" s="48"/>
      <c r="L8" s="62"/>
      <c r="M8" s="25"/>
      <c r="N8" s="62"/>
      <c r="O8" s="62"/>
    </row>
    <row r="9" spans="1:16" x14ac:dyDescent="0.35">
      <c r="A9" s="45"/>
      <c r="B9" s="25"/>
      <c r="C9" s="48"/>
      <c r="D9" s="63"/>
      <c r="E9" s="155"/>
      <c r="F9" s="50"/>
      <c r="G9" s="50"/>
      <c r="H9" s="50"/>
      <c r="I9" s="63"/>
      <c r="J9" s="48"/>
      <c r="K9" s="48"/>
      <c r="L9" s="62"/>
      <c r="M9" s="25"/>
      <c r="N9" s="62"/>
      <c r="O9" s="62"/>
    </row>
    <row r="10" spans="1:16" x14ac:dyDescent="0.35">
      <c r="A10" s="45"/>
      <c r="B10" s="141"/>
      <c r="C10" s="25"/>
      <c r="D10" s="154"/>
      <c r="E10" s="124"/>
      <c r="F10" s="27"/>
      <c r="G10" s="25"/>
      <c r="H10" s="50"/>
      <c r="I10" s="25"/>
      <c r="J10" s="25"/>
      <c r="K10" s="25"/>
      <c r="L10" s="25"/>
      <c r="M10" s="25"/>
      <c r="N10" s="25"/>
      <c r="O10" s="25"/>
    </row>
    <row r="11" spans="1:16" x14ac:dyDescent="0.35">
      <c r="A11" s="45"/>
      <c r="B11" s="141"/>
      <c r="C11" s="25"/>
      <c r="D11" s="154"/>
      <c r="E11" s="27"/>
      <c r="F11" s="27"/>
      <c r="G11" s="25"/>
      <c r="H11" s="50"/>
      <c r="I11" s="25"/>
      <c r="J11" s="25"/>
      <c r="K11" s="25"/>
      <c r="L11" s="25"/>
      <c r="M11" s="25"/>
      <c r="N11" s="25"/>
      <c r="O11" s="25"/>
    </row>
    <row r="12" spans="1:16" x14ac:dyDescent="0.35">
      <c r="A12" s="45"/>
      <c r="B12" s="141"/>
      <c r="C12" s="25"/>
      <c r="D12" s="154"/>
      <c r="E12" s="124"/>
      <c r="F12" s="27"/>
      <c r="G12" s="25"/>
      <c r="H12" s="50"/>
      <c r="I12" s="25"/>
      <c r="J12" s="25"/>
      <c r="K12" s="25"/>
      <c r="L12" s="25"/>
      <c r="M12" s="25"/>
      <c r="N12" s="25"/>
      <c r="O12" s="25"/>
    </row>
    <row r="13" spans="1:16" x14ac:dyDescent="0.35">
      <c r="A13" s="45"/>
      <c r="B13" s="141"/>
      <c r="C13" s="25"/>
      <c r="D13" s="154"/>
      <c r="E13" s="124"/>
      <c r="F13" s="27"/>
      <c r="G13" s="25"/>
      <c r="H13" s="50"/>
      <c r="I13" s="25"/>
      <c r="J13" s="25"/>
      <c r="K13" s="25"/>
      <c r="L13" s="25"/>
      <c r="M13" s="25"/>
      <c r="N13" s="25"/>
      <c r="O13" s="25"/>
    </row>
    <row r="14" spans="1:16" x14ac:dyDescent="0.35">
      <c r="A14" s="45"/>
      <c r="B14" s="141"/>
      <c r="C14" s="25"/>
      <c r="D14" s="154"/>
      <c r="E14" s="124"/>
      <c r="F14" s="27"/>
      <c r="G14" s="25"/>
      <c r="H14" s="50"/>
      <c r="I14" s="25"/>
      <c r="J14" s="25"/>
      <c r="K14" s="25"/>
      <c r="L14" s="25"/>
      <c r="M14" s="25"/>
      <c r="N14" s="25"/>
      <c r="O14" s="25"/>
    </row>
    <row r="15" spans="1:16" x14ac:dyDescent="0.35">
      <c r="A15" s="45"/>
      <c r="B15" s="141"/>
      <c r="C15" s="25"/>
      <c r="D15" s="154"/>
      <c r="E15" s="124"/>
      <c r="F15" s="27"/>
      <c r="G15" s="25"/>
      <c r="H15" s="50"/>
      <c r="I15" s="25"/>
      <c r="J15" s="25"/>
      <c r="K15" s="25"/>
      <c r="L15" s="25"/>
      <c r="M15" s="25"/>
      <c r="N15" s="25"/>
      <c r="O15" s="25"/>
    </row>
    <row r="16" spans="1:16" x14ac:dyDescent="0.35">
      <c r="A16" s="45"/>
      <c r="B16" s="141"/>
      <c r="C16" s="25"/>
      <c r="D16" s="154"/>
      <c r="E16" s="124"/>
      <c r="F16" s="27"/>
      <c r="G16" s="25"/>
      <c r="H16" s="50"/>
      <c r="I16" s="25"/>
      <c r="J16" s="25"/>
      <c r="K16" s="25"/>
      <c r="L16" s="25"/>
      <c r="M16" s="25"/>
      <c r="N16" s="25"/>
      <c r="O16" s="25"/>
    </row>
    <row r="17" spans="1:15" x14ac:dyDescent="0.35">
      <c r="A17" s="45"/>
      <c r="B17" s="141"/>
      <c r="C17" s="25"/>
      <c r="D17" s="154"/>
      <c r="E17" s="124"/>
      <c r="F17" s="27"/>
      <c r="G17" s="25"/>
      <c r="H17" s="50"/>
      <c r="I17" s="25"/>
      <c r="J17" s="25"/>
      <c r="K17" s="25"/>
      <c r="L17" s="25"/>
      <c r="M17" s="25"/>
      <c r="N17" s="25"/>
      <c r="O17" s="25"/>
    </row>
    <row r="18" spans="1:15" x14ac:dyDescent="0.35">
      <c r="A18" s="45"/>
      <c r="B18" s="141"/>
      <c r="C18" s="25"/>
      <c r="D18" s="154"/>
      <c r="E18" s="124"/>
      <c r="F18" s="27"/>
      <c r="G18" s="25"/>
      <c r="H18" s="50"/>
      <c r="I18" s="25"/>
      <c r="J18" s="25"/>
      <c r="K18" s="25"/>
      <c r="L18" s="25"/>
      <c r="M18" s="25"/>
      <c r="N18" s="25"/>
      <c r="O18" s="25"/>
    </row>
    <row r="19" spans="1:15" x14ac:dyDescent="0.35">
      <c r="A19" s="4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5" x14ac:dyDescent="0.35">
      <c r="A20" s="243" t="s">
        <v>106</v>
      </c>
      <c r="B20" s="243"/>
      <c r="C20" s="243"/>
      <c r="D20" s="28">
        <f>SUM(D4:D9)</f>
        <v>0</v>
      </c>
      <c r="E20" s="28">
        <f>SUM(E4:E9)</f>
        <v>0</v>
      </c>
      <c r="F20" s="28">
        <f>SUM(F4:F9)</f>
        <v>0</v>
      </c>
      <c r="G20" s="28"/>
      <c r="H20" s="28">
        <f>SUM(H4:H9)</f>
        <v>0</v>
      </c>
      <c r="I20" s="28"/>
      <c r="J20" s="25"/>
      <c r="K20" s="25"/>
      <c r="L20" s="25"/>
      <c r="M20" s="25"/>
      <c r="N20" s="25"/>
      <c r="O20" s="25"/>
    </row>
    <row r="21" spans="1:15" x14ac:dyDescent="0.35">
      <c r="A21" s="246" t="s">
        <v>107</v>
      </c>
      <c r="B21" s="246"/>
      <c r="C21" s="246"/>
      <c r="D21" s="176">
        <f>E20+F20+G20+H20</f>
        <v>0</v>
      </c>
      <c r="E21" s="30"/>
      <c r="F21" s="30"/>
      <c r="G21" s="30"/>
      <c r="H21" s="30"/>
      <c r="I21" s="30"/>
    </row>
    <row r="34" spans="3:5" x14ac:dyDescent="0.35">
      <c r="C34" s="24">
        <v>3.5</v>
      </c>
    </row>
    <row r="45" spans="3:5" x14ac:dyDescent="0.35">
      <c r="C45" s="24">
        <v>4.07</v>
      </c>
      <c r="D45" s="200">
        <v>4</v>
      </c>
      <c r="E45" s="24">
        <f>D45/C45</f>
        <v>0.98280098280098271</v>
      </c>
    </row>
    <row r="47" spans="3:5" x14ac:dyDescent="0.35">
      <c r="E47" s="24">
        <v>3</v>
      </c>
    </row>
    <row r="49" spans="3:5" x14ac:dyDescent="0.35">
      <c r="C49" s="24">
        <v>4.5</v>
      </c>
      <c r="D49" s="200">
        <f>D45/C49</f>
        <v>0.88888888888888884</v>
      </c>
      <c r="E49" s="24">
        <f>D45/E47</f>
        <v>1.3333333333333333</v>
      </c>
    </row>
  </sheetData>
  <autoFilter ref="C2:C21" xr:uid="{C5915D62-DB80-498F-904A-8D6EE0681477}"/>
  <mergeCells count="5">
    <mergeCell ref="A20:C20"/>
    <mergeCell ref="A21:C21"/>
    <mergeCell ref="E2:F2"/>
    <mergeCell ref="A4:A5"/>
    <mergeCell ref="B4:B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2B0A-AE07-4F6D-95D6-C0D6201A8545}">
  <dimension ref="A2:J11"/>
  <sheetViews>
    <sheetView workbookViewId="0">
      <selection activeCell="H5" sqref="H5:H6"/>
    </sheetView>
  </sheetViews>
  <sheetFormatPr defaultColWidth="9.08984375" defaultRowHeight="14.5" x14ac:dyDescent="0.35"/>
  <cols>
    <col min="1" max="1" width="3.54296875" style="24" bestFit="1" customWidth="1"/>
    <col min="2" max="2" width="32" style="24" bestFit="1" customWidth="1"/>
    <col min="3" max="3" width="33.453125" style="24" bestFit="1" customWidth="1"/>
    <col min="4" max="4" width="16.453125" style="24" bestFit="1" customWidth="1"/>
    <col min="5" max="5" width="21" style="24" bestFit="1" customWidth="1"/>
    <col min="6" max="7" width="15.36328125" style="24" customWidth="1"/>
    <col min="8" max="8" width="9.54296875" style="24" bestFit="1" customWidth="1"/>
    <col min="9" max="10" width="8.90625" customWidth="1"/>
    <col min="11" max="16384" width="9.08984375" style="24"/>
  </cols>
  <sheetData>
    <row r="2" spans="1:8" ht="15" thickBot="1" x14ac:dyDescent="0.4"/>
    <row r="3" spans="1:8" x14ac:dyDescent="0.35">
      <c r="A3" s="248"/>
      <c r="B3" s="249"/>
      <c r="C3" s="249"/>
      <c r="D3" s="249"/>
      <c r="E3" s="249"/>
      <c r="F3" s="249"/>
      <c r="G3" s="249"/>
      <c r="H3" s="249"/>
    </row>
    <row r="4" spans="1:8" s="44" customFormat="1" ht="14" x14ac:dyDescent="0.3">
      <c r="A4" s="51" t="s">
        <v>3</v>
      </c>
      <c r="B4" s="47" t="s">
        <v>34</v>
      </c>
      <c r="C4" s="47" t="s">
        <v>14</v>
      </c>
      <c r="D4" s="134" t="s">
        <v>4</v>
      </c>
      <c r="E4" s="47" t="s">
        <v>87</v>
      </c>
      <c r="F4" s="47" t="s">
        <v>75</v>
      </c>
      <c r="G4" s="47" t="s">
        <v>36</v>
      </c>
      <c r="H4" s="47" t="s">
        <v>82</v>
      </c>
    </row>
    <row r="5" spans="1:8" x14ac:dyDescent="0.35">
      <c r="A5" s="52">
        <v>1</v>
      </c>
      <c r="B5" s="25"/>
      <c r="C5" s="55"/>
      <c r="D5" s="50"/>
      <c r="E5" s="50"/>
      <c r="F5" s="50"/>
      <c r="G5" s="50">
        <f>D5-E5-F5</f>
        <v>0</v>
      </c>
      <c r="H5" s="65"/>
    </row>
    <row r="6" spans="1:8" x14ac:dyDescent="0.35">
      <c r="A6" s="52">
        <v>2</v>
      </c>
      <c r="B6" s="135"/>
      <c r="D6" s="123"/>
      <c r="E6" s="123"/>
      <c r="F6" s="123"/>
      <c r="G6" s="50">
        <f>D6-E6</f>
        <v>0</v>
      </c>
      <c r="H6" s="65"/>
    </row>
    <row r="7" spans="1:8" x14ac:dyDescent="0.35">
      <c r="A7" s="52"/>
      <c r="B7" s="25"/>
      <c r="C7" s="25"/>
      <c r="D7" s="124"/>
      <c r="E7" s="124"/>
      <c r="F7" s="25"/>
      <c r="G7" s="25"/>
      <c r="H7" s="65"/>
    </row>
    <row r="8" spans="1:8" x14ac:dyDescent="0.35">
      <c r="A8" s="52"/>
      <c r="B8" s="25"/>
      <c r="C8" s="25"/>
      <c r="D8" s="25"/>
      <c r="E8" s="25"/>
      <c r="F8" s="25"/>
      <c r="G8" s="25"/>
      <c r="H8" s="25"/>
    </row>
    <row r="9" spans="1:8" ht="15" thickBot="1" x14ac:dyDescent="0.4">
      <c r="A9" s="53"/>
      <c r="B9" s="54"/>
      <c r="C9" s="54"/>
      <c r="D9" s="67">
        <f>SUM(D5:D8)</f>
        <v>0</v>
      </c>
      <c r="E9" s="67">
        <f>SUM(E5:E8)</f>
        <v>0</v>
      </c>
      <c r="F9" s="67">
        <f>SUM(F5:F8)</f>
        <v>0</v>
      </c>
      <c r="G9" s="67">
        <f>SUM(G5:G8)</f>
        <v>0</v>
      </c>
      <c r="H9" s="54"/>
    </row>
    <row r="10" spans="1:8" x14ac:dyDescent="0.35">
      <c r="E10" s="43"/>
      <c r="F10" s="43"/>
    </row>
    <row r="11" spans="1:8" x14ac:dyDescent="0.35">
      <c r="E11" s="43"/>
      <c r="F11" s="43"/>
    </row>
  </sheetData>
  <mergeCells count="1"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01C0-E523-4B09-8767-1ADE4CE44C1A}">
  <dimension ref="A2:H41"/>
  <sheetViews>
    <sheetView workbookViewId="0">
      <selection activeCell="A5" sqref="A5"/>
    </sheetView>
  </sheetViews>
  <sheetFormatPr defaultColWidth="10.90625" defaultRowHeight="15" x14ac:dyDescent="0.3"/>
  <cols>
    <col min="1" max="1" width="3.90625" style="68" bestFit="1" customWidth="1"/>
    <col min="2" max="2" width="83" style="68" bestFit="1" customWidth="1"/>
    <col min="3" max="3" width="12.08984375" style="68" bestFit="1" customWidth="1"/>
    <col min="4" max="4" width="14.36328125" style="68" bestFit="1" customWidth="1"/>
    <col min="5" max="5" width="15.6328125" style="109" customWidth="1"/>
    <col min="6" max="6" width="55" style="68" bestFit="1" customWidth="1"/>
    <col min="7" max="16384" width="10.90625" style="68"/>
  </cols>
  <sheetData>
    <row r="2" spans="1:8" ht="17.5" x14ac:dyDescent="0.35">
      <c r="A2" s="252" t="s">
        <v>123</v>
      </c>
      <c r="B2" s="252"/>
      <c r="C2" s="252"/>
      <c r="D2" s="252"/>
      <c r="E2" s="252"/>
      <c r="F2" s="252"/>
    </row>
    <row r="3" spans="1:8" x14ac:dyDescent="0.3">
      <c r="A3" s="69" t="s">
        <v>9</v>
      </c>
      <c r="B3" s="70" t="s">
        <v>37</v>
      </c>
      <c r="C3" s="69" t="s">
        <v>38</v>
      </c>
      <c r="D3" s="70" t="s">
        <v>10</v>
      </c>
      <c r="E3" s="69" t="s">
        <v>39</v>
      </c>
      <c r="F3" s="71" t="s">
        <v>5</v>
      </c>
    </row>
    <row r="4" spans="1:8" x14ac:dyDescent="0.3">
      <c r="A4" s="72" t="s">
        <v>40</v>
      </c>
      <c r="B4" s="73" t="s">
        <v>41</v>
      </c>
      <c r="C4" s="74"/>
      <c r="D4" s="75"/>
      <c r="E4" s="74"/>
      <c r="F4" s="76"/>
    </row>
    <row r="5" spans="1:8" s="83" customFormat="1" x14ac:dyDescent="0.3">
      <c r="A5" s="186"/>
      <c r="B5" s="78"/>
      <c r="C5" s="187"/>
      <c r="D5" s="196"/>
      <c r="E5" s="197"/>
      <c r="F5" s="188"/>
    </row>
    <row r="6" spans="1:8" s="83" customFormat="1" x14ac:dyDescent="0.3">
      <c r="A6" s="77">
        <v>1</v>
      </c>
      <c r="B6" s="78"/>
      <c r="C6" s="79"/>
      <c r="D6" s="80"/>
      <c r="E6" s="81"/>
      <c r="F6" s="82"/>
    </row>
    <row r="7" spans="1:8" s="83" customFormat="1" x14ac:dyDescent="0.3">
      <c r="A7" s="77">
        <v>1</v>
      </c>
      <c r="B7" s="78"/>
      <c r="C7" s="79"/>
      <c r="D7" s="80"/>
      <c r="E7" s="81"/>
      <c r="F7" s="177"/>
      <c r="G7" s="81"/>
      <c r="H7" s="82"/>
    </row>
    <row r="8" spans="1:8" s="83" customFormat="1" x14ac:dyDescent="0.3">
      <c r="A8" s="77"/>
      <c r="B8" s="78"/>
      <c r="C8" s="79"/>
      <c r="D8" s="80"/>
      <c r="E8" s="81"/>
      <c r="F8" s="177"/>
      <c r="G8" s="190"/>
      <c r="H8" s="191"/>
    </row>
    <row r="9" spans="1:8" s="83" customFormat="1" x14ac:dyDescent="0.3">
      <c r="A9" s="77"/>
      <c r="B9" s="78"/>
      <c r="C9" s="79"/>
      <c r="D9" s="80"/>
      <c r="E9" s="81"/>
      <c r="F9" s="177"/>
      <c r="G9" s="190"/>
      <c r="H9" s="191"/>
    </row>
    <row r="10" spans="1:8" x14ac:dyDescent="0.3">
      <c r="A10" s="253" t="s">
        <v>124</v>
      </c>
      <c r="B10" s="253"/>
      <c r="C10" s="253"/>
      <c r="D10" s="253"/>
      <c r="E10" s="86">
        <f>SUM(E5:E9)</f>
        <v>0</v>
      </c>
      <c r="F10" s="76"/>
    </row>
    <row r="11" spans="1:8" x14ac:dyDescent="0.3">
      <c r="A11" s="87" t="s">
        <v>42</v>
      </c>
      <c r="B11" s="88" t="s">
        <v>43</v>
      </c>
      <c r="C11" s="89"/>
      <c r="D11" s="89"/>
      <c r="E11" s="90"/>
      <c r="F11" s="91"/>
    </row>
    <row r="12" spans="1:8" x14ac:dyDescent="0.3">
      <c r="A12" s="84">
        <v>1</v>
      </c>
      <c r="B12" s="92" t="s">
        <v>44</v>
      </c>
      <c r="C12" s="84">
        <v>1</v>
      </c>
      <c r="D12" s="93">
        <v>0</v>
      </c>
      <c r="E12" s="94">
        <f t="shared" ref="E12:E17" si="0">C12*D12</f>
        <v>0</v>
      </c>
      <c r="F12" s="95"/>
    </row>
    <row r="13" spans="1:8" x14ac:dyDescent="0.3">
      <c r="A13" s="84">
        <v>2</v>
      </c>
      <c r="B13" s="92" t="s">
        <v>45</v>
      </c>
      <c r="C13" s="84">
        <v>1</v>
      </c>
      <c r="D13" s="93">
        <v>0</v>
      </c>
      <c r="E13" s="94">
        <f t="shared" si="0"/>
        <v>0</v>
      </c>
      <c r="F13" s="95"/>
    </row>
    <row r="14" spans="1:8" x14ac:dyDescent="0.3">
      <c r="A14" s="84">
        <v>3</v>
      </c>
      <c r="B14" s="92" t="s">
        <v>46</v>
      </c>
      <c r="C14" s="84">
        <v>1</v>
      </c>
      <c r="D14" s="93">
        <v>0</v>
      </c>
      <c r="E14" s="94">
        <f t="shared" si="0"/>
        <v>0</v>
      </c>
      <c r="F14" s="95"/>
    </row>
    <row r="15" spans="1:8" x14ac:dyDescent="0.3">
      <c r="A15" s="84">
        <v>4</v>
      </c>
      <c r="B15" s="92" t="s">
        <v>47</v>
      </c>
      <c r="C15" s="84">
        <v>1</v>
      </c>
      <c r="D15" s="93">
        <v>0</v>
      </c>
      <c r="E15" s="94">
        <f t="shared" si="0"/>
        <v>0</v>
      </c>
      <c r="F15" s="95"/>
    </row>
    <row r="16" spans="1:8" x14ac:dyDescent="0.3">
      <c r="A16" s="84">
        <v>5</v>
      </c>
      <c r="B16" s="96" t="s">
        <v>48</v>
      </c>
      <c r="C16" s="84">
        <v>1</v>
      </c>
      <c r="D16" s="115">
        <v>0</v>
      </c>
      <c r="E16" s="94">
        <f t="shared" si="0"/>
        <v>0</v>
      </c>
      <c r="F16" s="97"/>
    </row>
    <row r="17" spans="1:7" ht="15.75" customHeight="1" x14ac:dyDescent="0.3">
      <c r="A17" s="84">
        <v>6</v>
      </c>
      <c r="B17" s="96" t="s">
        <v>49</v>
      </c>
      <c r="C17" s="84">
        <v>1</v>
      </c>
      <c r="D17" s="115">
        <v>0</v>
      </c>
      <c r="E17" s="94">
        <f t="shared" si="0"/>
        <v>0</v>
      </c>
      <c r="F17" s="97"/>
    </row>
    <row r="18" spans="1:7" ht="15.75" customHeight="1" x14ac:dyDescent="0.3">
      <c r="A18" s="84">
        <v>7</v>
      </c>
      <c r="B18" s="92" t="s">
        <v>50</v>
      </c>
      <c r="C18" s="84">
        <v>1</v>
      </c>
      <c r="D18" s="93">
        <v>0</v>
      </c>
      <c r="E18" s="94">
        <f>C18*D18</f>
        <v>0</v>
      </c>
      <c r="F18" s="95"/>
    </row>
    <row r="19" spans="1:7" ht="15.75" customHeight="1" x14ac:dyDescent="0.3">
      <c r="A19" s="84">
        <v>10</v>
      </c>
      <c r="B19" s="120" t="s">
        <v>96</v>
      </c>
      <c r="C19" s="121"/>
      <c r="D19" s="121"/>
      <c r="E19" s="43"/>
      <c r="F19" s="122"/>
    </row>
    <row r="20" spans="1:7" x14ac:dyDescent="0.3">
      <c r="A20" s="254" t="s">
        <v>51</v>
      </c>
      <c r="B20" s="254"/>
      <c r="C20" s="254"/>
      <c r="D20" s="254"/>
      <c r="E20" s="98">
        <f>SUM(E11:E19)</f>
        <v>0</v>
      </c>
      <c r="F20" s="99"/>
    </row>
    <row r="21" spans="1:7" x14ac:dyDescent="0.3">
      <c r="A21" s="100" t="s">
        <v>52</v>
      </c>
      <c r="B21" s="101" t="s">
        <v>53</v>
      </c>
      <c r="C21" s="100"/>
      <c r="D21" s="100"/>
      <c r="E21" s="102"/>
      <c r="F21" s="85"/>
    </row>
    <row r="22" spans="1:7" x14ac:dyDescent="0.3">
      <c r="A22" s="103">
        <v>1</v>
      </c>
      <c r="B22" s="96" t="s">
        <v>125</v>
      </c>
      <c r="C22" s="150">
        <v>1</v>
      </c>
      <c r="D22" s="149"/>
      <c r="E22" s="102"/>
      <c r="F22" s="258"/>
    </row>
    <row r="23" spans="1:7" s="83" customFormat="1" x14ac:dyDescent="0.3">
      <c r="A23" s="103">
        <v>2</v>
      </c>
      <c r="B23" s="78" t="s">
        <v>63</v>
      </c>
      <c r="C23" s="79">
        <v>1</v>
      </c>
      <c r="D23" s="80"/>
      <c r="E23" s="102"/>
      <c r="F23" s="259"/>
    </row>
    <row r="24" spans="1:7" x14ac:dyDescent="0.3">
      <c r="A24" s="103">
        <v>3</v>
      </c>
      <c r="B24" s="96"/>
      <c r="C24" s="150">
        <v>1</v>
      </c>
      <c r="D24" s="149"/>
      <c r="E24" s="102"/>
      <c r="F24" s="256"/>
      <c r="G24" s="151"/>
    </row>
    <row r="25" spans="1:7" x14ac:dyDescent="0.3">
      <c r="A25" s="103">
        <v>4</v>
      </c>
      <c r="B25" s="96"/>
      <c r="C25" s="150">
        <v>1</v>
      </c>
      <c r="D25" s="149"/>
      <c r="E25" s="102"/>
      <c r="F25" s="257"/>
      <c r="G25" s="151"/>
    </row>
    <row r="26" spans="1:7" x14ac:dyDescent="0.3">
      <c r="A26" s="103">
        <v>5</v>
      </c>
      <c r="B26" s="96"/>
      <c r="C26" s="150">
        <v>1</v>
      </c>
      <c r="D26" s="149"/>
      <c r="E26" s="102"/>
      <c r="F26" s="256"/>
      <c r="G26" s="107"/>
    </row>
    <row r="27" spans="1:7" x14ac:dyDescent="0.3">
      <c r="A27" s="103">
        <v>6</v>
      </c>
      <c r="B27" s="96"/>
      <c r="C27" s="150">
        <v>1</v>
      </c>
      <c r="D27" s="149"/>
      <c r="E27" s="102"/>
      <c r="F27" s="257"/>
    </row>
    <row r="28" spans="1:7" x14ac:dyDescent="0.3">
      <c r="A28" s="103">
        <v>7</v>
      </c>
      <c r="B28" s="96"/>
      <c r="C28" s="150">
        <v>1</v>
      </c>
      <c r="D28" s="149"/>
      <c r="E28" s="102"/>
      <c r="F28" s="256"/>
    </row>
    <row r="29" spans="1:7" x14ac:dyDescent="0.3">
      <c r="A29" s="103">
        <v>8</v>
      </c>
      <c r="B29" s="96"/>
      <c r="C29" s="150">
        <v>1</v>
      </c>
      <c r="D29" s="149"/>
      <c r="E29" s="102"/>
      <c r="F29" s="257"/>
    </row>
    <row r="30" spans="1:7" x14ac:dyDescent="0.3">
      <c r="A30" s="103"/>
      <c r="B30" s="96"/>
      <c r="C30" s="100"/>
      <c r="D30" s="149"/>
      <c r="E30" s="102"/>
      <c r="F30" s="193"/>
    </row>
    <row r="31" spans="1:7" x14ac:dyDescent="0.3">
      <c r="A31" s="254" t="s">
        <v>54</v>
      </c>
      <c r="B31" s="254"/>
      <c r="C31" s="254"/>
      <c r="D31" s="254"/>
      <c r="E31" s="98">
        <f>SUM(E22:E30)</f>
        <v>0</v>
      </c>
      <c r="F31" s="99"/>
    </row>
    <row r="32" spans="1:7" ht="17.5" x14ac:dyDescent="0.3">
      <c r="A32" s="255" t="s">
        <v>55</v>
      </c>
      <c r="B32" s="255"/>
      <c r="C32" s="255"/>
      <c r="D32" s="255"/>
      <c r="E32" s="104">
        <f>E31+E10+E20</f>
        <v>0</v>
      </c>
      <c r="F32" s="105"/>
    </row>
    <row r="33" spans="1:5" x14ac:dyDescent="0.3">
      <c r="B33" s="106" t="s">
        <v>56</v>
      </c>
      <c r="E33" s="107"/>
    </row>
    <row r="37" spans="1:5" ht="22.5" x14ac:dyDescent="0.45">
      <c r="A37" s="1"/>
      <c r="B37" s="108" t="s">
        <v>57</v>
      </c>
      <c r="C37" s="1"/>
    </row>
    <row r="38" spans="1:5" ht="17.5" x14ac:dyDescent="0.35">
      <c r="A38" s="110" t="s">
        <v>9</v>
      </c>
      <c r="B38" s="110" t="s">
        <v>58</v>
      </c>
      <c r="C38" s="110" t="s">
        <v>59</v>
      </c>
    </row>
    <row r="39" spans="1:5" ht="15.5" x14ac:dyDescent="0.35">
      <c r="A39" s="40">
        <v>2</v>
      </c>
      <c r="B39" s="1" t="s">
        <v>63</v>
      </c>
      <c r="C39" s="111"/>
    </row>
    <row r="40" spans="1:5" ht="20" x14ac:dyDescent="0.4">
      <c r="A40" s="250" t="s">
        <v>60</v>
      </c>
      <c r="B40" s="251"/>
      <c r="C40" s="114">
        <f>SUM(C39:C39)</f>
        <v>0</v>
      </c>
    </row>
    <row r="41" spans="1:5" ht="20" x14ac:dyDescent="0.4">
      <c r="A41" s="112"/>
      <c r="B41" s="113"/>
      <c r="C41" s="114"/>
    </row>
  </sheetData>
  <mergeCells count="10">
    <mergeCell ref="A40:B40"/>
    <mergeCell ref="A2:F2"/>
    <mergeCell ref="A10:D10"/>
    <mergeCell ref="A20:D20"/>
    <mergeCell ref="A31:D31"/>
    <mergeCell ref="A32:D32"/>
    <mergeCell ref="F24:F25"/>
    <mergeCell ref="F22:F23"/>
    <mergeCell ref="F26:F27"/>
    <mergeCell ref="F28:F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DB24-365B-4238-A17E-CEB6F3895EF3}">
  <dimension ref="A2:N19"/>
  <sheetViews>
    <sheetView workbookViewId="0">
      <selection activeCell="H15" sqref="H15"/>
    </sheetView>
  </sheetViews>
  <sheetFormatPr defaultColWidth="9.08984375" defaultRowHeight="14" x14ac:dyDescent="0.3"/>
  <cols>
    <col min="1" max="1" width="3.54296875" style="24" bestFit="1" customWidth="1"/>
    <col min="2" max="2" width="15" style="24" bestFit="1" customWidth="1"/>
    <col min="3" max="3" width="14.1796875" style="24" bestFit="1" customWidth="1"/>
    <col min="4" max="4" width="18.90625" style="24" bestFit="1" customWidth="1"/>
    <col min="5" max="5" width="4.453125" style="24" bestFit="1" customWidth="1"/>
    <col min="6" max="6" width="21.26953125" style="24" bestFit="1" customWidth="1"/>
    <col min="7" max="7" width="4.90625" style="24" bestFit="1" customWidth="1"/>
    <col min="8" max="8" width="4.453125" style="24" bestFit="1" customWidth="1"/>
    <col min="9" max="9" width="12.54296875" style="24" bestFit="1" customWidth="1"/>
    <col min="10" max="10" width="12.6328125" style="24" bestFit="1" customWidth="1"/>
    <col min="11" max="11" width="23.6328125" style="24" bestFit="1" customWidth="1"/>
    <col min="12" max="12" width="11.08984375" style="24" bestFit="1" customWidth="1"/>
    <col min="13" max="13" width="17" style="24" bestFit="1" customWidth="1"/>
    <col min="14" max="14" width="37.08984375" style="24" customWidth="1"/>
    <col min="15" max="16384" width="9.08984375" style="24"/>
  </cols>
  <sheetData>
    <row r="2" spans="1:14" ht="20" x14ac:dyDescent="0.4">
      <c r="A2" s="260" t="s">
        <v>1</v>
      </c>
      <c r="B2" s="260"/>
      <c r="C2" s="260"/>
      <c r="D2" s="260"/>
      <c r="E2" s="260" t="s">
        <v>88</v>
      </c>
      <c r="F2" s="260"/>
      <c r="G2" s="260"/>
      <c r="H2" s="260"/>
      <c r="I2" s="260"/>
      <c r="J2" s="260"/>
      <c r="K2" s="260"/>
      <c r="L2" s="260"/>
      <c r="M2" s="260"/>
      <c r="N2" s="260"/>
    </row>
    <row r="3" spans="1:14" x14ac:dyDescent="0.3">
      <c r="A3" s="47" t="s">
        <v>3</v>
      </c>
      <c r="B3" s="47" t="s">
        <v>2</v>
      </c>
      <c r="C3" s="139" t="s">
        <v>0</v>
      </c>
      <c r="D3" s="46" t="s">
        <v>1</v>
      </c>
      <c r="E3" s="274" t="s">
        <v>3</v>
      </c>
      <c r="F3" s="118" t="s">
        <v>8</v>
      </c>
      <c r="G3" s="23" t="s">
        <v>12</v>
      </c>
      <c r="H3" s="26" t="s">
        <v>13</v>
      </c>
      <c r="I3" s="23" t="s">
        <v>6</v>
      </c>
      <c r="J3" s="23" t="s">
        <v>64</v>
      </c>
      <c r="K3" s="23" t="s">
        <v>93</v>
      </c>
      <c r="L3" s="23" t="s">
        <v>65</v>
      </c>
      <c r="M3" s="23" t="s">
        <v>8</v>
      </c>
      <c r="N3" s="153" t="s">
        <v>5</v>
      </c>
    </row>
    <row r="4" spans="1:14" ht="16.5" customHeight="1" x14ac:dyDescent="0.3">
      <c r="A4" s="25"/>
      <c r="B4" s="25"/>
      <c r="C4" s="25"/>
      <c r="D4" s="124"/>
      <c r="E4" s="25"/>
      <c r="F4" s="271"/>
      <c r="G4" s="272"/>
      <c r="H4" s="25"/>
      <c r="I4" s="25"/>
      <c r="J4" s="25"/>
      <c r="K4" s="25"/>
      <c r="L4" s="25"/>
      <c r="M4" s="25"/>
      <c r="N4" s="25"/>
    </row>
    <row r="5" spans="1:14" ht="16.5" customHeight="1" x14ac:dyDescent="0.3">
      <c r="A5" s="25"/>
      <c r="B5" s="25"/>
      <c r="C5" s="25"/>
      <c r="D5" s="124"/>
      <c r="E5" s="25"/>
      <c r="F5" s="178"/>
      <c r="G5" s="204"/>
      <c r="H5" s="25"/>
      <c r="I5" s="25"/>
      <c r="J5" s="25"/>
      <c r="K5" s="25"/>
      <c r="L5" s="25"/>
      <c r="M5" s="25"/>
      <c r="N5" s="25"/>
    </row>
    <row r="6" spans="1:14" ht="16.5" customHeight="1" x14ac:dyDescent="0.3">
      <c r="A6" s="25"/>
      <c r="B6" s="25"/>
      <c r="C6" s="25"/>
      <c r="D6" s="124"/>
      <c r="E6" s="25"/>
      <c r="F6" s="178"/>
      <c r="G6" s="204"/>
      <c r="H6" s="25"/>
      <c r="I6" s="25"/>
      <c r="J6" s="25"/>
      <c r="K6" s="25"/>
      <c r="L6" s="25"/>
      <c r="M6" s="25"/>
      <c r="N6" s="25"/>
    </row>
    <row r="7" spans="1:14" ht="16.5" customHeight="1" x14ac:dyDescent="0.3">
      <c r="A7" s="25"/>
      <c r="B7" s="25"/>
      <c r="C7" s="25"/>
      <c r="D7" s="124"/>
      <c r="E7" s="25"/>
      <c r="F7" s="178"/>
      <c r="G7" s="204"/>
      <c r="H7" s="25"/>
      <c r="I7" s="25"/>
      <c r="J7" s="25"/>
      <c r="K7" s="25"/>
      <c r="L7" s="25"/>
      <c r="M7" s="25"/>
      <c r="N7" s="25"/>
    </row>
    <row r="8" spans="1:14" ht="16.5" customHeight="1" x14ac:dyDescent="0.3">
      <c r="A8" s="25"/>
      <c r="B8" s="25"/>
      <c r="C8" s="25"/>
      <c r="D8" s="124"/>
      <c r="E8" s="25"/>
      <c r="F8" s="178"/>
      <c r="G8" s="204"/>
      <c r="H8" s="25"/>
      <c r="I8" s="25"/>
      <c r="J8" s="25"/>
      <c r="K8" s="25"/>
      <c r="L8" s="25"/>
      <c r="M8" s="25"/>
      <c r="N8" s="25"/>
    </row>
    <row r="9" spans="1:14" ht="16.5" customHeight="1" x14ac:dyDescent="0.3">
      <c r="A9" s="25"/>
      <c r="B9" s="25"/>
      <c r="C9" s="25"/>
      <c r="D9" s="124"/>
      <c r="E9" s="25"/>
      <c r="F9" s="178"/>
      <c r="G9" s="204"/>
      <c r="H9" s="25"/>
      <c r="I9" s="25"/>
      <c r="J9" s="25"/>
      <c r="K9" s="25"/>
      <c r="L9" s="25"/>
      <c r="M9" s="25"/>
      <c r="N9" s="25"/>
    </row>
    <row r="10" spans="1:14" ht="16.5" customHeight="1" x14ac:dyDescent="0.3">
      <c r="A10" s="25"/>
      <c r="B10" s="25"/>
      <c r="C10" s="25"/>
      <c r="D10" s="124"/>
      <c r="E10" s="25"/>
      <c r="F10" s="178"/>
      <c r="G10" s="204"/>
      <c r="H10" s="25"/>
      <c r="I10" s="25"/>
      <c r="J10" s="25"/>
      <c r="K10" s="25"/>
      <c r="L10" s="25"/>
      <c r="M10" s="25"/>
      <c r="N10" s="25"/>
    </row>
    <row r="11" spans="1:14" ht="16.5" customHeight="1" x14ac:dyDescent="0.3">
      <c r="A11" s="25"/>
      <c r="B11" s="25"/>
      <c r="C11" s="25"/>
      <c r="D11" s="124"/>
      <c r="E11" s="25"/>
      <c r="F11" s="271"/>
      <c r="G11" s="272"/>
      <c r="H11" s="25"/>
      <c r="I11" s="25"/>
      <c r="J11" s="25"/>
      <c r="K11" s="25"/>
      <c r="L11" s="25"/>
      <c r="M11" s="25"/>
      <c r="N11" s="25"/>
    </row>
    <row r="12" spans="1:14" ht="16.5" customHeight="1" x14ac:dyDescent="0.3">
      <c r="A12" s="25"/>
      <c r="B12" s="25"/>
      <c r="C12" s="25"/>
      <c r="D12" s="124"/>
      <c r="E12" s="25"/>
      <c r="F12" s="178"/>
      <c r="G12" s="204"/>
      <c r="H12" s="25"/>
      <c r="I12" s="25"/>
      <c r="J12" s="25"/>
      <c r="K12" s="25"/>
      <c r="L12" s="25"/>
      <c r="M12" s="25"/>
      <c r="N12" s="25"/>
    </row>
    <row r="13" spans="1:14" ht="16.5" customHeight="1" x14ac:dyDescent="0.3">
      <c r="A13" s="25"/>
      <c r="B13" s="25"/>
      <c r="C13" s="25"/>
      <c r="D13" s="124"/>
      <c r="E13" s="25"/>
      <c r="F13" s="273"/>
      <c r="G13" s="272"/>
      <c r="H13" s="25"/>
      <c r="I13" s="25"/>
      <c r="J13" s="25"/>
      <c r="K13" s="25"/>
      <c r="L13" s="25"/>
      <c r="M13" s="25"/>
      <c r="N13" s="25"/>
    </row>
    <row r="14" spans="1:14" ht="16.5" customHeight="1" x14ac:dyDescent="0.3">
      <c r="A14" s="25"/>
      <c r="B14" s="25"/>
      <c r="C14" s="25"/>
      <c r="D14" s="124"/>
      <c r="E14" s="25"/>
      <c r="F14" s="178"/>
      <c r="G14" s="204"/>
      <c r="H14" s="25"/>
      <c r="I14" s="25"/>
      <c r="J14" s="25"/>
      <c r="K14" s="25"/>
      <c r="L14" s="25"/>
      <c r="M14" s="25"/>
      <c r="N14" s="25"/>
    </row>
    <row r="15" spans="1:14" x14ac:dyDescent="0.3">
      <c r="A15" s="25"/>
      <c r="B15" s="25"/>
      <c r="C15" s="25"/>
      <c r="D15" s="25"/>
      <c r="E15" s="25"/>
      <c r="F15" s="25"/>
      <c r="G15" s="199"/>
      <c r="H15" s="25"/>
      <c r="I15" s="25"/>
      <c r="J15" s="25"/>
      <c r="K15" s="25"/>
      <c r="L15" s="25"/>
      <c r="M15" s="25"/>
      <c r="N15" s="25"/>
    </row>
    <row r="16" spans="1:14" x14ac:dyDescent="0.3">
      <c r="A16" s="25"/>
      <c r="B16" s="25"/>
      <c r="C16" s="25"/>
      <c r="D16" s="203"/>
      <c r="E16" s="25"/>
      <c r="F16" s="210" t="s">
        <v>16</v>
      </c>
      <c r="G16" s="203">
        <f>SUM(G4:G15)</f>
        <v>0</v>
      </c>
      <c r="H16" s="203"/>
      <c r="I16" s="25"/>
      <c r="J16" s="25"/>
      <c r="K16" s="25"/>
      <c r="L16" s="25"/>
      <c r="M16" s="25"/>
      <c r="N16" s="25"/>
    </row>
    <row r="17" spans="1:14" x14ac:dyDescent="0.3">
      <c r="A17" s="25"/>
      <c r="B17" s="25"/>
      <c r="C17" s="25"/>
      <c r="D17" s="25"/>
      <c r="E17" s="25"/>
      <c r="F17" s="210" t="s">
        <v>15</v>
      </c>
      <c r="G17" s="203">
        <f>D8</f>
        <v>0</v>
      </c>
      <c r="H17" s="25"/>
      <c r="I17" s="25"/>
      <c r="J17" s="25"/>
      <c r="K17" s="25"/>
      <c r="L17" s="25"/>
      <c r="M17" s="25"/>
      <c r="N17" s="25"/>
    </row>
    <row r="18" spans="1:14" x14ac:dyDescent="0.3">
      <c r="A18" s="25"/>
      <c r="B18" s="25"/>
      <c r="C18" s="25"/>
      <c r="D18" s="25"/>
      <c r="E18" s="25"/>
      <c r="F18" s="185" t="s">
        <v>117</v>
      </c>
      <c r="G18" s="203">
        <f>G17-G16</f>
        <v>0</v>
      </c>
      <c r="H18" s="25"/>
      <c r="I18" s="203"/>
      <c r="J18" s="25"/>
      <c r="K18" s="25"/>
      <c r="L18" s="25"/>
      <c r="M18" s="25"/>
      <c r="N18" s="25"/>
    </row>
    <row r="19" spans="1:14" x14ac:dyDescent="0.3">
      <c r="H19" s="142"/>
    </row>
  </sheetData>
  <mergeCells count="2">
    <mergeCell ref="A2:D2"/>
    <mergeCell ref="E2:N2"/>
  </mergeCells>
  <phoneticPr fontId="15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5944-81CC-4BEF-8B12-BE7E47104D8B}">
  <dimension ref="A4:J18"/>
  <sheetViews>
    <sheetView topLeftCell="A6" workbookViewId="0">
      <selection activeCell="D12" sqref="D12"/>
    </sheetView>
  </sheetViews>
  <sheetFormatPr defaultColWidth="9.08984375" defaultRowHeight="14" x14ac:dyDescent="0.3"/>
  <cols>
    <col min="1" max="1" width="3.453125" style="24" bestFit="1" customWidth="1"/>
    <col min="2" max="2" width="18.08984375" style="24" bestFit="1" customWidth="1"/>
    <col min="3" max="3" width="8.08984375" style="24" bestFit="1" customWidth="1"/>
    <col min="4" max="4" width="49" style="24" bestFit="1" customWidth="1"/>
    <col min="5" max="5" width="18.6328125" style="24" bestFit="1" customWidth="1"/>
    <col min="6" max="6" width="15.6328125" style="24" bestFit="1" customWidth="1"/>
    <col min="7" max="7" width="18.08984375" style="24" bestFit="1" customWidth="1"/>
    <col min="8" max="8" width="10.453125" style="24" bestFit="1" customWidth="1"/>
    <col min="9" max="9" width="10.453125" style="24" customWidth="1"/>
    <col min="10" max="10" width="22.08984375" style="24" bestFit="1" customWidth="1"/>
    <col min="11" max="16384" width="9.08984375" style="24"/>
  </cols>
  <sheetData>
    <row r="4" spans="1:10" ht="20" x14ac:dyDescent="0.4">
      <c r="B4" s="261" t="s">
        <v>81</v>
      </c>
      <c r="C4" s="261"/>
      <c r="D4" s="261"/>
      <c r="E4" s="261"/>
      <c r="F4" s="261"/>
      <c r="G4" s="261"/>
      <c r="H4" s="261"/>
      <c r="I4" s="261"/>
      <c r="J4" s="261"/>
    </row>
    <row r="5" spans="1:10" x14ac:dyDescent="0.3">
      <c r="A5" s="24" t="s">
        <v>3</v>
      </c>
      <c r="B5" s="46" t="s">
        <v>76</v>
      </c>
      <c r="C5" s="46" t="s">
        <v>11</v>
      </c>
      <c r="D5" s="47" t="s">
        <v>14</v>
      </c>
      <c r="E5" s="46" t="s">
        <v>78</v>
      </c>
      <c r="F5" s="131" t="s">
        <v>79</v>
      </c>
      <c r="G5" s="131" t="s">
        <v>80</v>
      </c>
      <c r="H5" s="131" t="s">
        <v>66</v>
      </c>
      <c r="I5" s="131" t="s">
        <v>77</v>
      </c>
      <c r="J5" s="46" t="s">
        <v>16</v>
      </c>
    </row>
    <row r="6" spans="1:10" x14ac:dyDescent="0.3">
      <c r="B6" s="247"/>
      <c r="C6" s="25"/>
      <c r="D6" s="25"/>
      <c r="E6" s="27"/>
      <c r="F6" s="27"/>
      <c r="G6" s="27"/>
      <c r="H6" s="27"/>
      <c r="I6" s="27"/>
      <c r="J6" s="28"/>
    </row>
    <row r="7" spans="1:10" x14ac:dyDescent="0.3">
      <c r="B7" s="229"/>
      <c r="C7" s="25"/>
      <c r="D7" s="25"/>
      <c r="E7" s="27"/>
      <c r="F7" s="25"/>
      <c r="G7" s="27"/>
      <c r="H7" s="25"/>
      <c r="I7" s="27"/>
      <c r="J7" s="28"/>
    </row>
    <row r="8" spans="1:10" x14ac:dyDescent="0.3">
      <c r="B8" s="229"/>
      <c r="C8" s="25"/>
      <c r="D8" s="25"/>
      <c r="E8" s="27"/>
      <c r="F8" s="25"/>
      <c r="G8" s="25"/>
      <c r="H8" s="25"/>
      <c r="I8" s="27"/>
      <c r="J8" s="28"/>
    </row>
    <row r="9" spans="1:10" x14ac:dyDescent="0.3">
      <c r="B9" s="229"/>
      <c r="C9" s="25"/>
      <c r="D9" s="25"/>
      <c r="E9" s="27"/>
      <c r="F9" s="25"/>
      <c r="G9" s="25"/>
      <c r="H9" s="27"/>
      <c r="I9" s="27"/>
      <c r="J9" s="28"/>
    </row>
    <row r="10" spans="1:10" x14ac:dyDescent="0.3">
      <c r="B10" s="229"/>
      <c r="C10" s="229"/>
      <c r="D10" s="25"/>
      <c r="E10" s="27"/>
      <c r="F10" s="25"/>
      <c r="G10" s="25"/>
      <c r="H10" s="25"/>
      <c r="I10" s="27"/>
      <c r="J10" s="28"/>
    </row>
    <row r="11" spans="1:10" x14ac:dyDescent="0.3">
      <c r="B11" s="229"/>
      <c r="C11" s="229"/>
      <c r="D11" s="25"/>
      <c r="E11" s="27"/>
      <c r="F11" s="25"/>
      <c r="G11" s="25"/>
      <c r="H11" s="27"/>
      <c r="I11" s="27"/>
      <c r="J11" s="25"/>
    </row>
    <row r="12" spans="1:10" x14ac:dyDescent="0.3">
      <c r="B12" s="25"/>
      <c r="C12" s="25"/>
      <c r="D12" s="25"/>
      <c r="E12" s="25"/>
      <c r="F12" s="25"/>
      <c r="G12" s="25"/>
      <c r="H12" s="25"/>
      <c r="I12" s="27"/>
      <c r="J12" s="25"/>
    </row>
    <row r="13" spans="1:10" x14ac:dyDescent="0.3">
      <c r="B13" s="25"/>
      <c r="C13" s="25"/>
      <c r="D13" s="25"/>
      <c r="E13" s="25"/>
      <c r="F13" s="25"/>
      <c r="G13" s="25"/>
      <c r="H13" s="25"/>
      <c r="I13" s="27"/>
      <c r="J13" s="25"/>
    </row>
    <row r="14" spans="1:10" x14ac:dyDescent="0.3">
      <c r="B14" s="25"/>
      <c r="C14" s="25"/>
      <c r="D14" s="25"/>
      <c r="E14" s="25"/>
      <c r="F14" s="25"/>
      <c r="G14" s="25"/>
      <c r="H14" s="25"/>
      <c r="I14" s="27"/>
      <c r="J14" s="25"/>
    </row>
    <row r="15" spans="1:10" x14ac:dyDescent="0.3">
      <c r="B15" s="25"/>
      <c r="C15" s="25"/>
      <c r="D15" s="25"/>
      <c r="E15" s="25"/>
      <c r="F15" s="25"/>
      <c r="G15" s="25"/>
      <c r="H15" s="25"/>
      <c r="I15" s="27"/>
      <c r="J15" s="25"/>
    </row>
    <row r="16" spans="1:10" x14ac:dyDescent="0.3">
      <c r="B16" s="25"/>
      <c r="C16" s="25"/>
      <c r="D16" s="25"/>
      <c r="E16" s="25"/>
      <c r="F16" s="25"/>
      <c r="G16" s="25"/>
      <c r="H16" s="25"/>
      <c r="I16" s="27"/>
      <c r="J16" s="25"/>
    </row>
    <row r="17" spans="2:10" x14ac:dyDescent="0.3">
      <c r="B17" s="25"/>
      <c r="C17" s="25"/>
      <c r="D17" s="25"/>
      <c r="E17" s="25"/>
      <c r="F17" s="25"/>
      <c r="G17" s="25"/>
      <c r="H17" s="25"/>
      <c r="I17" s="27">
        <f t="shared" ref="I7:I17" si="0">E17-F17-G17-H17</f>
        <v>0</v>
      </c>
      <c r="J17" s="25"/>
    </row>
    <row r="18" spans="2:10" x14ac:dyDescent="0.3">
      <c r="B18" s="25"/>
      <c r="C18" s="25"/>
      <c r="D18" s="25"/>
      <c r="E18" s="28">
        <f>SUM(E6:E17)</f>
        <v>0</v>
      </c>
      <c r="F18" s="28">
        <f>SUM(F6:F17)</f>
        <v>0</v>
      </c>
      <c r="G18" s="28">
        <f>SUM(G6:G17)</f>
        <v>0</v>
      </c>
      <c r="H18" s="28">
        <f>SUM(H6:H17)</f>
        <v>0</v>
      </c>
      <c r="I18" s="28">
        <f>SUM(I6:I17)</f>
        <v>0</v>
      </c>
      <c r="J18" s="25"/>
    </row>
  </sheetData>
  <mergeCells count="3">
    <mergeCell ref="C10:C11"/>
    <mergeCell ref="B6:B11"/>
    <mergeCell ref="B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32"/>
  <sheetViews>
    <sheetView zoomScale="118" zoomScaleNormal="118" workbookViewId="0">
      <selection activeCell="B8" sqref="B8"/>
    </sheetView>
  </sheetViews>
  <sheetFormatPr defaultColWidth="9.08984375" defaultRowHeight="14" x14ac:dyDescent="0.3"/>
  <cols>
    <col min="1" max="1" width="3.08984375" style="2" bestFit="1" customWidth="1"/>
    <col min="2" max="2" width="50" style="2" bestFit="1" customWidth="1"/>
    <col min="3" max="3" width="15.453125" style="2" bestFit="1" customWidth="1"/>
    <col min="4" max="4" width="13.36328125" style="2" bestFit="1" customWidth="1"/>
    <col min="5" max="5" width="8.90625" style="2" bestFit="1" customWidth="1"/>
    <col min="6" max="6" width="15.453125" style="2" bestFit="1" customWidth="1"/>
    <col min="7" max="7" width="50" style="2" bestFit="1" customWidth="1"/>
    <col min="8" max="8" width="18.90625" style="2" bestFit="1" customWidth="1"/>
    <col min="9" max="9" width="10" style="2" bestFit="1" customWidth="1"/>
    <col min="10" max="10" width="14.90625" style="2" bestFit="1" customWidth="1"/>
    <col min="11" max="16384" width="9.08984375" style="2"/>
  </cols>
  <sheetData>
    <row r="4" spans="1:10" ht="19.5" customHeight="1" x14ac:dyDescent="0.4">
      <c r="A4" s="260" t="s">
        <v>126</v>
      </c>
      <c r="B4" s="260"/>
      <c r="C4" s="260"/>
      <c r="D4" s="260"/>
      <c r="E4" s="260"/>
      <c r="F4" s="29"/>
      <c r="G4" s="29"/>
      <c r="H4" s="29"/>
    </row>
    <row r="5" spans="1:10" x14ac:dyDescent="0.3">
      <c r="A5" s="22" t="s">
        <v>3</v>
      </c>
      <c r="B5" s="23" t="s">
        <v>8</v>
      </c>
      <c r="C5" s="23" t="s">
        <v>4</v>
      </c>
      <c r="D5" s="23" t="s">
        <v>6</v>
      </c>
      <c r="E5" s="23" t="s">
        <v>5</v>
      </c>
      <c r="F5" s="5" t="s">
        <v>2</v>
      </c>
      <c r="G5" s="21" t="s">
        <v>0</v>
      </c>
      <c r="H5" s="4" t="s">
        <v>1</v>
      </c>
    </row>
    <row r="6" spans="1:10" x14ac:dyDescent="0.3">
      <c r="A6" s="22"/>
      <c r="B6" s="42"/>
      <c r="C6" s="39"/>
      <c r="D6" s="41"/>
      <c r="E6" s="39"/>
      <c r="F6" s="8"/>
      <c r="G6" s="40"/>
      <c r="H6" s="1"/>
    </row>
    <row r="7" spans="1:10" x14ac:dyDescent="0.3">
      <c r="A7" s="22"/>
      <c r="B7" s="9"/>
      <c r="C7" s="3"/>
      <c r="D7" s="3"/>
      <c r="E7" s="1"/>
      <c r="F7" s="1"/>
      <c r="G7" s="1"/>
      <c r="H7" s="1"/>
    </row>
    <row r="8" spans="1:10" x14ac:dyDescent="0.3">
      <c r="A8" s="8"/>
      <c r="B8" s="9"/>
      <c r="C8" s="10"/>
      <c r="D8" s="10"/>
      <c r="E8" s="1"/>
      <c r="F8" s="31"/>
      <c r="G8" s="32"/>
      <c r="H8" s="1"/>
    </row>
    <row r="9" spans="1:10" x14ac:dyDescent="0.3">
      <c r="A9" s="22"/>
      <c r="B9" s="9"/>
      <c r="C9" s="10"/>
      <c r="D9" s="10"/>
      <c r="E9" s="1"/>
      <c r="F9" s="31"/>
      <c r="G9" s="32"/>
      <c r="H9" s="1"/>
    </row>
    <row r="10" spans="1:10" x14ac:dyDescent="0.3">
      <c r="A10" s="8"/>
      <c r="B10" s="9"/>
      <c r="C10" s="3"/>
      <c r="D10" s="3"/>
      <c r="E10" s="1"/>
      <c r="F10" s="31"/>
      <c r="G10" s="32"/>
      <c r="H10" s="1"/>
    </row>
    <row r="11" spans="1:10" x14ac:dyDescent="0.3">
      <c r="A11" s="22"/>
      <c r="B11" s="9"/>
      <c r="C11" s="3"/>
      <c r="D11" s="3"/>
      <c r="E11" s="1"/>
      <c r="F11" s="31"/>
      <c r="G11" s="32"/>
      <c r="H11" s="1"/>
    </row>
    <row r="12" spans="1:10" x14ac:dyDescent="0.3">
      <c r="A12" s="8"/>
      <c r="B12" s="9"/>
      <c r="C12" s="3"/>
      <c r="D12" s="3"/>
      <c r="E12" s="265"/>
      <c r="F12" s="31"/>
      <c r="G12" s="32"/>
      <c r="H12" s="1"/>
      <c r="I12" s="14"/>
      <c r="J12" s="14"/>
    </row>
    <row r="13" spans="1:10" x14ac:dyDescent="0.3">
      <c r="A13" s="22"/>
      <c r="B13" s="9"/>
      <c r="C13" s="3"/>
      <c r="D13" s="3"/>
      <c r="E13" s="266"/>
      <c r="F13" s="31"/>
      <c r="G13" s="32"/>
      <c r="H13" s="1"/>
    </row>
    <row r="14" spans="1:10" x14ac:dyDescent="0.3">
      <c r="A14" s="8"/>
      <c r="B14" s="9"/>
      <c r="C14" s="3"/>
      <c r="D14" s="3"/>
      <c r="E14" s="1"/>
      <c r="G14" s="32"/>
      <c r="H14" s="1"/>
    </row>
    <row r="15" spans="1:10" x14ac:dyDescent="0.3">
      <c r="A15" s="22"/>
      <c r="B15" s="9"/>
      <c r="C15" s="3"/>
      <c r="D15" s="34"/>
      <c r="E15" s="1"/>
      <c r="G15" s="32"/>
      <c r="H15" s="1"/>
    </row>
    <row r="16" spans="1:10" x14ac:dyDescent="0.3">
      <c r="A16" s="8"/>
      <c r="B16" s="9"/>
      <c r="C16" s="3"/>
      <c r="D16" s="34"/>
      <c r="E16" s="1"/>
      <c r="G16" s="32"/>
      <c r="H16" s="1"/>
    </row>
    <row r="17" spans="1:8" x14ac:dyDescent="0.3">
      <c r="A17" s="22"/>
      <c r="B17" s="9"/>
      <c r="C17" s="3"/>
      <c r="D17" s="34"/>
      <c r="E17" s="1"/>
      <c r="G17" s="32"/>
      <c r="H17" s="1"/>
    </row>
    <row r="18" spans="1:8" x14ac:dyDescent="0.3">
      <c r="A18" s="8"/>
      <c r="B18" s="9"/>
      <c r="C18" s="3"/>
      <c r="D18" s="34"/>
      <c r="E18" s="1"/>
      <c r="G18" s="32"/>
      <c r="H18" s="1"/>
    </row>
    <row r="19" spans="1:8" x14ac:dyDescent="0.3">
      <c r="A19" s="22"/>
      <c r="B19" s="9"/>
      <c r="C19" s="3"/>
      <c r="D19" s="33"/>
      <c r="E19" s="1"/>
      <c r="G19" s="32"/>
      <c r="H19" s="1"/>
    </row>
    <row r="20" spans="1:8" x14ac:dyDescent="0.3">
      <c r="A20" s="8"/>
      <c r="B20" s="9"/>
      <c r="C20" s="3"/>
      <c r="D20" s="3"/>
      <c r="E20" s="1"/>
      <c r="F20" s="7"/>
      <c r="G20" s="1"/>
      <c r="H20" s="1"/>
    </row>
    <row r="21" spans="1:8" x14ac:dyDescent="0.3">
      <c r="A21" s="22"/>
      <c r="B21" s="9"/>
      <c r="C21" s="3"/>
      <c r="D21" s="3"/>
      <c r="E21" s="1"/>
      <c r="F21" s="7"/>
      <c r="G21" s="1"/>
      <c r="H21" s="1"/>
    </row>
    <row r="22" spans="1:8" x14ac:dyDescent="0.3">
      <c r="A22" s="8"/>
      <c r="B22" s="9"/>
      <c r="C22" s="3"/>
      <c r="D22" s="3"/>
      <c r="E22" s="1"/>
      <c r="F22" s="7"/>
      <c r="G22" s="1"/>
      <c r="H22" s="1"/>
    </row>
    <row r="23" spans="1:8" x14ac:dyDescent="0.3">
      <c r="A23" s="22"/>
      <c r="B23" s="35"/>
      <c r="C23" s="36"/>
      <c r="D23" s="36"/>
      <c r="E23" s="37"/>
      <c r="F23" s="7"/>
      <c r="G23" s="1"/>
      <c r="H23" s="1"/>
    </row>
    <row r="24" spans="1:8" x14ac:dyDescent="0.3">
      <c r="A24" s="8"/>
      <c r="B24" s="9"/>
      <c r="C24" s="3"/>
      <c r="D24" s="3"/>
      <c r="E24" s="1"/>
      <c r="F24" s="7"/>
      <c r="G24" s="1"/>
      <c r="H24" s="1"/>
    </row>
    <row r="25" spans="1:8" x14ac:dyDescent="0.3">
      <c r="A25" s="22"/>
      <c r="B25" s="9"/>
      <c r="C25" s="3"/>
      <c r="D25" s="3"/>
      <c r="E25" s="1"/>
      <c r="F25" s="7"/>
      <c r="G25" s="1"/>
      <c r="H25" s="1"/>
    </row>
    <row r="26" spans="1:8" x14ac:dyDescent="0.3">
      <c r="A26" s="22"/>
      <c r="B26" s="116"/>
      <c r="C26" s="117"/>
      <c r="D26" s="3"/>
      <c r="E26" s="1"/>
      <c r="F26" s="7"/>
      <c r="G26" s="1"/>
      <c r="H26" s="1"/>
    </row>
    <row r="27" spans="1:8" x14ac:dyDescent="0.3">
      <c r="A27" s="22"/>
      <c r="B27" s="116"/>
      <c r="C27" s="117"/>
      <c r="D27" s="3"/>
      <c r="E27" s="1"/>
      <c r="F27" s="7"/>
      <c r="G27" s="1"/>
      <c r="H27" s="1"/>
    </row>
    <row r="28" spans="1:8" x14ac:dyDescent="0.3">
      <c r="A28" s="22"/>
      <c r="B28" s="116"/>
      <c r="C28" s="117"/>
      <c r="D28" s="3"/>
      <c r="E28" s="1"/>
      <c r="F28" s="7"/>
      <c r="G28" s="1"/>
      <c r="H28" s="1"/>
    </row>
    <row r="29" spans="1:8" x14ac:dyDescent="0.3">
      <c r="A29" s="1"/>
      <c r="B29" s="269" t="s">
        <v>18</v>
      </c>
      <c r="C29" s="270"/>
      <c r="D29" s="13">
        <f>SUM(D6:D25)</f>
        <v>0</v>
      </c>
      <c r="E29" s="13"/>
      <c r="F29" s="7"/>
      <c r="G29" s="1"/>
      <c r="H29" s="3">
        <f>H7+H8+H9+H10+H11+H12+H13+H14+H15+H16+H17+H18+H19+H20+H21+H22+H23+H24+H25</f>
        <v>0</v>
      </c>
    </row>
    <row r="30" spans="1:8" ht="17.5" x14ac:dyDescent="0.35">
      <c r="A30" s="1"/>
      <c r="B30" s="267" t="s">
        <v>7</v>
      </c>
      <c r="C30" s="268"/>
      <c r="D30" s="12"/>
      <c r="E30" s="12"/>
      <c r="F30" s="7"/>
      <c r="G30" s="1"/>
      <c r="H30" s="3"/>
    </row>
    <row r="31" spans="1:8" ht="15" customHeight="1" x14ac:dyDescent="0.3">
      <c r="A31" s="262" t="s">
        <v>17</v>
      </c>
      <c r="B31" s="263"/>
      <c r="C31" s="264"/>
      <c r="D31" s="11">
        <f>H29-D29</f>
        <v>0</v>
      </c>
      <c r="E31" s="11"/>
      <c r="F31" s="1"/>
      <c r="G31" s="1"/>
      <c r="H31" s="6"/>
    </row>
    <row r="32" spans="1:8" ht="15" customHeight="1" x14ac:dyDescent="0.3">
      <c r="A32" s="15"/>
      <c r="B32" s="16"/>
      <c r="C32" s="17"/>
      <c r="D32" s="18"/>
      <c r="E32" s="18"/>
      <c r="F32" s="19"/>
      <c r="G32" s="19"/>
      <c r="H32" s="20"/>
    </row>
  </sheetData>
  <mergeCells count="5">
    <mergeCell ref="A31:C31"/>
    <mergeCell ref="E12:E13"/>
    <mergeCell ref="A4:E4"/>
    <mergeCell ref="B30:C30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Sum-Calculation</vt:lpstr>
      <vt:lpstr>BCBL-Summary</vt:lpstr>
      <vt:lpstr>Client &amp; PO</vt:lpstr>
      <vt:lpstr>SNS Issue PO &amp; Expenditure (2)</vt:lpstr>
      <vt:lpstr>SE</vt:lpstr>
      <vt:lpstr>Salary and Conveyance</vt:lpstr>
      <vt:lpstr>Expenditure &amp; Received Amount </vt:lpstr>
      <vt:lpstr>Local Purchase</vt:lpstr>
      <vt:lpstr>Conveyance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Sharmin Akter</dc:creator>
  <cp:lastModifiedBy>Sharmin Shikha</cp:lastModifiedBy>
  <cp:lastPrinted>2025-05-04T12:06:56Z</cp:lastPrinted>
  <dcterms:created xsi:type="dcterms:W3CDTF">2015-06-05T18:17:20Z</dcterms:created>
  <dcterms:modified xsi:type="dcterms:W3CDTF">2026-01-03T09:04:44Z</dcterms:modified>
</cp:coreProperties>
</file>